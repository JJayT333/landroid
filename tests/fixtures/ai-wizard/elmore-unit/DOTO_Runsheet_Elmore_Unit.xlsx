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tl\Dropbox\PLC\Active Clients\Genesis\Arcadia\Springhill (Flores) - Working\1-Springhill_Elmore\3-276.12_ac_Dr_ElmoreNo1_Unit\DOTO Runsheet_Elmore#1\"/>
    </mc:Choice>
  </mc:AlternateContent>
  <xr:revisionPtr revIDLastSave="0" documentId="13_ncr:1_{2A41D091-E6C4-42D8-AA50-BFC2620BE3B3}" xr6:coauthVersionLast="47" xr6:coauthVersionMax="47" xr10:uidLastSave="{00000000-0000-0000-0000-000000000000}"/>
  <bookViews>
    <workbookView xWindow="-98" yWindow="-98" windowWidth="28996" windowHeight="15675" tabRatio="817" firstSheet="1" activeTab="1" xr2:uid="{6399DEB1-83D5-4D3A-B0A8-616931C64669}"/>
  </bookViews>
  <sheets>
    <sheet name="Document List" sheetId="16" r:id="rId1"/>
    <sheet name="Leasehold" sheetId="11" r:id="rId2"/>
    <sheet name="NPR 1-Title-Tr.2,3,5&amp;6" sheetId="14" r:id="rId3"/>
    <sheet name="NPR 2-Title-Tr.4&amp;7" sheetId="15" r:id="rId4"/>
    <sheet name="MI-Title-Tr.1-(6)-55.5016 ac." sheetId="1" r:id="rId5"/>
    <sheet name="Title-Tr.2-(1)-106.19 ac." sheetId="2" r:id="rId6"/>
    <sheet name="Title-Tr.3-(5)-28.223 ac." sheetId="3" r:id="rId7"/>
    <sheet name="Title-Tr.4-(3)-14.64 ac." sheetId="4" r:id="rId8"/>
    <sheet name="Title-Tr.5-(4)-8.44 ac." sheetId="5" r:id="rId9"/>
    <sheet name="Title-Tr.6-(2)-42.581 ac." sheetId="6" r:id="rId10"/>
    <sheet name="Title-Tr.7-(7)-20.546 ac." sheetId="7" r:id="rId11"/>
    <sheet name="Sheet1" sheetId="17" r:id="rId12"/>
  </sheets>
  <definedNames>
    <definedName name="_xlnm.Print_Area" localSheetId="1">Leasehold!$A$1:$M$41</definedName>
    <definedName name="_xlnm.Print_Area" localSheetId="4">Table145354[#All]</definedName>
    <definedName name="_xlnm.Print_Area" localSheetId="2">Table1453541013[#All]</definedName>
    <definedName name="_xlnm.Print_Area" localSheetId="3">'NPR 2-Title-Tr.4&amp;7'!$A$1:$N$16</definedName>
    <definedName name="_xlnm.Print_Area" localSheetId="5">Table1453543[#All]</definedName>
    <definedName name="_xlnm.Print_Area" localSheetId="6">'Title-Tr.3-(5)-28.223 ac.'!$A$1:$N$45</definedName>
    <definedName name="_xlnm.Print_Area" localSheetId="7">Table145354345[#All]</definedName>
    <definedName name="_xlnm.Print_Area" localSheetId="8">Table1453543456[#All]</definedName>
    <definedName name="_xlnm.Print_Area" localSheetId="9">Table14535434567[#All]</definedName>
    <definedName name="_xlnm.Print_Area" localSheetId="10">Table145354345678[#All]</definedName>
    <definedName name="_xlnm.Print_Titles" localSheetId="1">Leasehold!$1:$1</definedName>
    <definedName name="_xlnm.Print_Titles" localSheetId="2">'NPR 1-Title-Tr.2,3,5&amp;6'!$1:$1</definedName>
    <definedName name="_xlnm.Print_Titles" localSheetId="5">'Title-Tr.2-(1)-106.19 ac.'!$1:$1</definedName>
    <definedName name="_xlnm.Print_Titles" localSheetId="6">'Title-Tr.3-(5)-28.223 ac.'!$1:$1</definedName>
    <definedName name="_xlnm.Print_Titles" localSheetId="8">'Title-Tr.5-(4)-8.44 ac.'!$1:$1</definedName>
    <definedName name="_xlnm.Print_Titles" localSheetId="9">'Title-Tr.6-(2)-42.581 ac.'!$1:$1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1" l="1"/>
  <c r="A36" i="11" s="1"/>
  <c r="D37" i="11"/>
  <c r="A37" i="11" s="1"/>
  <c r="C36" i="11"/>
  <c r="C37" i="11"/>
  <c r="C38" i="11"/>
  <c r="C39" i="11"/>
  <c r="C40" i="11" s="1"/>
  <c r="C41" i="11" s="1"/>
  <c r="D43" i="2"/>
  <c r="D45" i="2"/>
  <c r="D46" i="2"/>
  <c r="D48" i="2"/>
  <c r="D49" i="2"/>
  <c r="D51" i="2"/>
  <c r="D53" i="2"/>
  <c r="D54" i="2"/>
  <c r="D56" i="2"/>
  <c r="D57" i="2"/>
  <c r="D58" i="2"/>
  <c r="D59" i="2"/>
  <c r="D61" i="2"/>
  <c r="D62" i="2"/>
  <c r="D63" i="2"/>
  <c r="D64" i="2"/>
  <c r="D65" i="2"/>
  <c r="D67" i="2"/>
  <c r="D69" i="2"/>
  <c r="D70" i="2"/>
  <c r="D71" i="2"/>
  <c r="D73" i="2"/>
  <c r="D74" i="2"/>
  <c r="D76" i="2"/>
  <c r="D77" i="2"/>
  <c r="D78" i="2"/>
  <c r="D81" i="2"/>
  <c r="D82" i="2"/>
  <c r="D84" i="2"/>
  <c r="D85" i="2"/>
  <c r="D91" i="2"/>
  <c r="D94" i="2"/>
  <c r="D96" i="2"/>
  <c r="D98" i="2"/>
  <c r="D99" i="2"/>
  <c r="D100" i="2"/>
  <c r="D39" i="2"/>
  <c r="D42" i="2"/>
  <c r="C26" i="3"/>
  <c r="C27" i="3" s="1"/>
  <c r="C28" i="3" s="1"/>
  <c r="C29" i="3" s="1"/>
  <c r="D26" i="3"/>
  <c r="A26" i="3" s="1"/>
  <c r="D27" i="3"/>
  <c r="D28" i="3"/>
  <c r="D29" i="3"/>
  <c r="C2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A24" i="5" s="1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6" i="2"/>
  <c r="D37" i="2"/>
  <c r="D38" i="2"/>
  <c r="D40" i="2"/>
  <c r="D41" i="2"/>
  <c r="D44" i="2"/>
  <c r="D47" i="2"/>
  <c r="D50" i="2"/>
  <c r="D52" i="2"/>
  <c r="D55" i="2"/>
  <c r="D60" i="2"/>
  <c r="D66" i="2"/>
  <c r="D68" i="2"/>
  <c r="D72" i="2"/>
  <c r="D75" i="2"/>
  <c r="D79" i="2"/>
  <c r="D80" i="2"/>
  <c r="D83" i="2"/>
  <c r="D86" i="2"/>
  <c r="D87" i="2"/>
  <c r="D88" i="2"/>
  <c r="D89" i="2"/>
  <c r="D90" i="2"/>
  <c r="D92" i="2"/>
  <c r="D93" i="2"/>
  <c r="D95" i="2"/>
  <c r="D97" i="2"/>
  <c r="A29" i="3" l="1"/>
  <c r="A27" i="3"/>
  <c r="A28" i="3"/>
  <c r="D22" i="6"/>
  <c r="D23" i="6"/>
  <c r="D24" i="6"/>
  <c r="D25" i="6"/>
  <c r="D26" i="6"/>
  <c r="D27" i="6"/>
  <c r="D29" i="6"/>
  <c r="D28" i="6"/>
  <c r="D31" i="6"/>
  <c r="D30" i="6"/>
  <c r="D32" i="6"/>
  <c r="D33" i="6"/>
  <c r="D35" i="6"/>
  <c r="D34" i="6"/>
  <c r="N5" i="4"/>
  <c r="N5" i="7"/>
  <c r="D6" i="7"/>
  <c r="D50" i="3"/>
  <c r="D49" i="3"/>
  <c r="D48" i="3"/>
  <c r="D46" i="3"/>
  <c r="D45" i="3"/>
  <c r="D33" i="3"/>
  <c r="D34" i="3"/>
  <c r="N10" i="15"/>
  <c r="C16" i="15"/>
  <c r="D12" i="15"/>
  <c r="D13" i="15"/>
  <c r="D16" i="15"/>
  <c r="D14" i="15"/>
  <c r="D15" i="15"/>
  <c r="C25" i="2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D2" i="15"/>
  <c r="A2" i="15" s="1"/>
  <c r="D2" i="14"/>
  <c r="D11" i="15"/>
  <c r="A11" i="15" s="1"/>
  <c r="C39" i="2" l="1"/>
  <c r="N29" i="14"/>
  <c r="C3" i="11"/>
  <c r="C4" i="11" s="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D41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A27" i="11" s="1"/>
  <c r="D28" i="11"/>
  <c r="D29" i="11"/>
  <c r="D30" i="11"/>
  <c r="D31" i="11"/>
  <c r="D32" i="11"/>
  <c r="D33" i="11"/>
  <c r="D34" i="11"/>
  <c r="D35" i="11"/>
  <c r="D38" i="11"/>
  <c r="D39" i="11"/>
  <c r="D40" i="11"/>
  <c r="D2" i="11"/>
  <c r="D4" i="11"/>
  <c r="D5" i="11"/>
  <c r="D6" i="11"/>
  <c r="D7" i="11"/>
  <c r="D8" i="11"/>
  <c r="D9" i="11"/>
  <c r="D10" i="11"/>
  <c r="D3" i="11"/>
  <c r="A39" i="2" l="1"/>
  <c r="C40" i="2"/>
  <c r="D26" i="2"/>
  <c r="A26" i="2" s="1"/>
  <c r="D25" i="2"/>
  <c r="A25" i="2" s="1"/>
  <c r="D33" i="2" l="1"/>
  <c r="D27" i="2"/>
  <c r="D28" i="2"/>
  <c r="D24" i="2"/>
  <c r="N6" i="1"/>
  <c r="N3" i="2"/>
  <c r="N4" i="2"/>
  <c r="N5" i="2"/>
  <c r="N6" i="2"/>
  <c r="N7" i="2"/>
  <c r="N4" i="7"/>
  <c r="N3" i="7"/>
  <c r="C3" i="1"/>
  <c r="C4" i="1" s="1"/>
  <c r="C5" i="1" s="1"/>
  <c r="A27" i="2" l="1"/>
  <c r="A28" i="2"/>
  <c r="N23" i="2"/>
  <c r="D21" i="6" l="1"/>
  <c r="C22" i="6"/>
  <c r="C23" i="6" s="1"/>
  <c r="C24" i="6" s="1"/>
  <c r="C25" i="6" s="1"/>
  <c r="C26" i="6" s="1"/>
  <c r="N5" i="6"/>
  <c r="N20" i="6" s="1"/>
  <c r="N4" i="5"/>
  <c r="N23" i="5" s="1"/>
  <c r="N4" i="3"/>
  <c r="N24" i="3" s="1"/>
  <c r="C8" i="1"/>
  <c r="C9" i="1" s="1"/>
  <c r="C26" i="5" l="1"/>
  <c r="A25" i="5"/>
  <c r="C27" i="6"/>
  <c r="D35" i="2"/>
  <c r="D34" i="2"/>
  <c r="D31" i="2"/>
  <c r="D30" i="2"/>
  <c r="D32" i="2"/>
  <c r="D29" i="2"/>
  <c r="C27" i="5" l="1"/>
  <c r="A26" i="5"/>
  <c r="C28" i="6"/>
  <c r="A28" i="6"/>
  <c r="D4" i="1"/>
  <c r="A4" i="1" s="1"/>
  <c r="D3" i="1"/>
  <c r="A3" i="1" s="1"/>
  <c r="D5" i="1"/>
  <c r="A5" i="1" s="1"/>
  <c r="C28" i="5" l="1"/>
  <c r="A27" i="5"/>
  <c r="C29" i="6"/>
  <c r="A29" i="6" s="1"/>
  <c r="C7" i="7"/>
  <c r="C29" i="5" l="1"/>
  <c r="A28" i="5"/>
  <c r="A6" i="7"/>
  <c r="C30" i="5" l="1"/>
  <c r="A29" i="5"/>
  <c r="D30" i="14"/>
  <c r="D31" i="14"/>
  <c r="D32" i="14"/>
  <c r="D33" i="14"/>
  <c r="D34" i="14"/>
  <c r="D35" i="14"/>
  <c r="D36" i="14"/>
  <c r="D37" i="14"/>
  <c r="D38" i="14"/>
  <c r="D39" i="14"/>
  <c r="D40" i="14"/>
  <c r="A2" i="14"/>
  <c r="A30" i="5" l="1"/>
  <c r="C31" i="5"/>
  <c r="C8" i="7"/>
  <c r="C9" i="7" s="1"/>
  <c r="C10" i="7" s="1"/>
  <c r="C11" i="7" s="1"/>
  <c r="C12" i="7" s="1"/>
  <c r="C32" i="5" l="1"/>
  <c r="A31" i="5"/>
  <c r="C12" i="15"/>
  <c r="C33" i="5" l="1"/>
  <c r="A32" i="5"/>
  <c r="A12" i="15"/>
  <c r="C34" i="5" l="1"/>
  <c r="A33" i="5"/>
  <c r="D51" i="3"/>
  <c r="D44" i="3"/>
  <c r="D25" i="3"/>
  <c r="D30" i="3"/>
  <c r="D31" i="3"/>
  <c r="D32" i="3"/>
  <c r="D35" i="3"/>
  <c r="D37" i="3"/>
  <c r="D39" i="3"/>
  <c r="D40" i="3"/>
  <c r="D7" i="7"/>
  <c r="A7" i="7" s="1"/>
  <c r="D8" i="7"/>
  <c r="A8" i="7" s="1"/>
  <c r="D9" i="7"/>
  <c r="A9" i="7" s="1"/>
  <c r="D10" i="7"/>
  <c r="A10" i="7" s="1"/>
  <c r="D11" i="7"/>
  <c r="A11" i="7" s="1"/>
  <c r="D12" i="7"/>
  <c r="A12" i="7" s="1"/>
  <c r="C35" i="5" l="1"/>
  <c r="A34" i="5"/>
  <c r="D2" i="7"/>
  <c r="A2" i="7" s="1"/>
  <c r="D2" i="6"/>
  <c r="A2" i="6" s="1"/>
  <c r="D2" i="5"/>
  <c r="A2" i="5" s="1"/>
  <c r="D2" i="4"/>
  <c r="D2" i="3"/>
  <c r="A2" i="3" s="1"/>
  <c r="D2" i="2"/>
  <c r="D2" i="1"/>
  <c r="D9" i="1"/>
  <c r="D8" i="1"/>
  <c r="D7" i="1"/>
  <c r="C36" i="5" l="1"/>
  <c r="A35" i="5"/>
  <c r="A2" i="4"/>
  <c r="A2" i="2"/>
  <c r="A2" i="1"/>
  <c r="C37" i="5" l="1"/>
  <c r="A36" i="5"/>
  <c r="A7" i="1"/>
  <c r="C38" i="5" l="1"/>
  <c r="A38" i="5" s="1"/>
  <c r="A37" i="5"/>
  <c r="A8" i="1"/>
  <c r="C30" i="14" l="1"/>
  <c r="A30" i="14" l="1"/>
  <c r="C31" i="14"/>
  <c r="A31" i="14" l="1"/>
  <c r="C32" i="14"/>
  <c r="A32" i="14" l="1"/>
  <c r="C33" i="14"/>
  <c r="A9" i="1"/>
  <c r="C34" i="14" l="1"/>
  <c r="A33" i="14"/>
  <c r="C35" i="14" l="1"/>
  <c r="A34" i="14"/>
  <c r="C36" i="14" l="1"/>
  <c r="A35" i="14"/>
  <c r="A36" i="14" l="1"/>
  <c r="C37" i="14"/>
  <c r="A37" i="14" l="1"/>
  <c r="C38" i="14"/>
  <c r="C39" i="14" l="1"/>
  <c r="A38" i="14"/>
  <c r="A39" i="14" l="1"/>
  <c r="C40" i="14"/>
  <c r="A40" i="14" l="1"/>
  <c r="C30" i="3" l="1"/>
  <c r="C31" i="3" s="1"/>
  <c r="A25" i="3" l="1"/>
  <c r="A30" i="3" l="1"/>
  <c r="A31" i="3" l="1"/>
  <c r="A21" i="6" l="1"/>
  <c r="A22" i="6" l="1"/>
  <c r="A23" i="6" l="1"/>
  <c r="A24" i="6" l="1"/>
  <c r="A25" i="6" l="1"/>
  <c r="A26" i="6" l="1"/>
  <c r="A27" i="6" l="1"/>
  <c r="A24" i="2" l="1"/>
  <c r="A29" i="2" l="1"/>
  <c r="A30" i="2" l="1"/>
  <c r="A32" i="2" l="1"/>
  <c r="A40" i="2"/>
  <c r="A38" i="2"/>
  <c r="A37" i="2"/>
  <c r="A33" i="2"/>
  <c r="A34" i="2"/>
  <c r="A31" i="2"/>
  <c r="A36" i="2"/>
  <c r="A35" i="2"/>
  <c r="A2" i="11" l="1"/>
  <c r="A3" i="11"/>
  <c r="A4" i="11" l="1"/>
  <c r="A5" i="11" l="1"/>
  <c r="A6" i="11" l="1"/>
  <c r="A7" i="11" l="1"/>
  <c r="A8" i="11" l="1"/>
  <c r="A9" i="11" l="1"/>
  <c r="A10" i="11" l="1"/>
  <c r="A11" i="11" l="1"/>
  <c r="A12" i="11" l="1"/>
  <c r="A13" i="11" l="1"/>
  <c r="A14" i="11" l="1"/>
  <c r="A15" i="11" l="1"/>
  <c r="A16" i="11" l="1"/>
  <c r="A17" i="11" l="1"/>
  <c r="A18" i="11" l="1"/>
  <c r="A19" i="11" l="1"/>
  <c r="A20" i="11" l="1"/>
  <c r="A21" i="11" l="1"/>
  <c r="A22" i="11" l="1"/>
  <c r="A23" i="11" l="1"/>
  <c r="A24" i="11" l="1"/>
  <c r="A25" i="11" l="1"/>
  <c r="A26" i="11" l="1"/>
  <c r="A28" i="11" l="1"/>
  <c r="A29" i="11" l="1"/>
  <c r="A30" i="11" l="1"/>
  <c r="A31" i="11" l="1"/>
  <c r="A32" i="11" l="1"/>
  <c r="A33" i="11" l="1"/>
  <c r="A34" i="11" l="1"/>
  <c r="A35" i="11" l="1"/>
  <c r="A38" i="11" l="1"/>
  <c r="A39" i="11" l="1"/>
  <c r="A40" i="11" l="1"/>
  <c r="A41" i="11"/>
  <c r="C13" i="15"/>
  <c r="C14" i="15" s="1"/>
  <c r="A13" i="15"/>
  <c r="C15" i="15" l="1"/>
  <c r="A14" i="15"/>
  <c r="A15" i="15" l="1"/>
  <c r="A16" i="15" l="1"/>
  <c r="C32" i="3"/>
  <c r="C33" i="3"/>
  <c r="C34" i="3" s="1"/>
  <c r="A32" i="3"/>
  <c r="C41" i="2"/>
  <c r="A41" i="2" l="1"/>
  <c r="C42" i="2"/>
  <c r="A33" i="3"/>
  <c r="A34" i="3"/>
  <c r="C35" i="3"/>
  <c r="C36" i="3" s="1"/>
  <c r="C43" i="2" l="1"/>
  <c r="A42" i="2"/>
  <c r="A36" i="3"/>
  <c r="C37" i="3"/>
  <c r="C38" i="3" s="1"/>
  <c r="A38" i="3" s="1"/>
  <c r="A35" i="3"/>
  <c r="A43" i="2" l="1"/>
  <c r="C44" i="2"/>
  <c r="A44" i="2" s="1"/>
  <c r="A37" i="3"/>
  <c r="C39" i="3"/>
  <c r="C45" i="2" l="1"/>
  <c r="C40" i="3"/>
  <c r="C41" i="3" s="1"/>
  <c r="C46" i="2" l="1"/>
  <c r="A45" i="2"/>
  <c r="A41" i="3"/>
  <c r="C42" i="3"/>
  <c r="A40" i="3"/>
  <c r="A46" i="2" l="1"/>
  <c r="C47" i="2"/>
  <c r="A47" i="2" s="1"/>
  <c r="A42" i="3"/>
  <c r="C43" i="3"/>
  <c r="C48" i="2" l="1"/>
  <c r="A43" i="3"/>
  <c r="C44" i="3"/>
  <c r="C49" i="2" l="1"/>
  <c r="A48" i="2"/>
  <c r="A44" i="3"/>
  <c r="C45" i="3"/>
  <c r="A49" i="2" l="1"/>
  <c r="C50" i="2"/>
  <c r="A50" i="2" s="1"/>
  <c r="C46" i="3"/>
  <c r="A45" i="3"/>
  <c r="C51" i="2" l="1"/>
  <c r="C47" i="3"/>
  <c r="A46" i="3"/>
  <c r="A51" i="2" l="1"/>
  <c r="C52" i="2"/>
  <c r="A52" i="2" s="1"/>
  <c r="A47" i="3"/>
  <c r="C48" i="3"/>
  <c r="C53" i="2" l="1"/>
  <c r="C49" i="3"/>
  <c r="A48" i="3"/>
  <c r="C54" i="2" l="1"/>
  <c r="A53" i="2"/>
  <c r="A49" i="3"/>
  <c r="C50" i="3"/>
  <c r="A54" i="2" l="1"/>
  <c r="C55" i="2"/>
  <c r="A55" i="2" s="1"/>
  <c r="C51" i="3"/>
  <c r="A50" i="3"/>
  <c r="C56" i="2" l="1"/>
  <c r="A51" i="3"/>
  <c r="C52" i="3"/>
  <c r="A52" i="3" s="1"/>
  <c r="C57" i="2" l="1"/>
  <c r="A56" i="2"/>
  <c r="A57" i="2" l="1"/>
  <c r="C58" i="2"/>
  <c r="A58" i="2" l="1"/>
  <c r="C59" i="2"/>
  <c r="A59" i="2" l="1"/>
  <c r="C60" i="2"/>
  <c r="C61" i="2" l="1"/>
  <c r="A60" i="2"/>
  <c r="A61" i="2" l="1"/>
  <c r="C62" i="2"/>
  <c r="C30" i="6"/>
  <c r="C31" i="6"/>
  <c r="C32" i="6"/>
  <c r="C33" i="6"/>
  <c r="C34" i="6"/>
  <c r="A34" i="6"/>
  <c r="C35" i="6"/>
  <c r="A35" i="6"/>
  <c r="A33" i="6"/>
  <c r="A32" i="6"/>
  <c r="A31" i="6"/>
  <c r="A30" i="6"/>
  <c r="A62" i="2" l="1"/>
  <c r="C63" i="2"/>
  <c r="A63" i="2" l="1"/>
  <c r="C64" i="2"/>
  <c r="A64" i="2" l="1"/>
  <c r="C65" i="2"/>
  <c r="A65" i="2" l="1"/>
  <c r="C66" i="2"/>
  <c r="C67" i="2" l="1"/>
  <c r="A66" i="2"/>
  <c r="A67" i="2" l="1"/>
  <c r="C68" i="2"/>
  <c r="C69" i="2" l="1"/>
  <c r="A68" i="2"/>
  <c r="A69" i="2" l="1"/>
  <c r="C70" i="2"/>
  <c r="A70" i="2" l="1"/>
  <c r="C71" i="2"/>
  <c r="A71" i="2" l="1"/>
  <c r="C72" i="2"/>
  <c r="C73" i="2" l="1"/>
  <c r="A72" i="2"/>
  <c r="A73" i="2" l="1"/>
  <c r="C74" i="2"/>
  <c r="A74" i="2" l="1"/>
  <c r="C75" i="2"/>
  <c r="C76" i="2" l="1"/>
  <c r="A75" i="2"/>
  <c r="A76" i="2" l="1"/>
  <c r="C77" i="2"/>
  <c r="A77" i="2" l="1"/>
  <c r="C78" i="2"/>
  <c r="A78" i="2" l="1"/>
  <c r="C79" i="2"/>
  <c r="C80" i="2" l="1"/>
  <c r="A79" i="2"/>
  <c r="C81" i="2" l="1"/>
  <c r="A80" i="2"/>
  <c r="A81" i="2" l="1"/>
  <c r="C82" i="2"/>
  <c r="A82" i="2" l="1"/>
  <c r="C83" i="2"/>
  <c r="C84" i="2" l="1"/>
  <c r="A83" i="2"/>
  <c r="A84" i="2" l="1"/>
  <c r="C85" i="2"/>
  <c r="A85" i="2" l="1"/>
  <c r="C86" i="2"/>
  <c r="C87" i="2" l="1"/>
  <c r="A86" i="2"/>
  <c r="A87" i="2" l="1"/>
  <c r="C88" i="2"/>
  <c r="A88" i="2" l="1"/>
  <c r="C89" i="2"/>
  <c r="C90" i="2" l="1"/>
  <c r="A89" i="2"/>
  <c r="C91" i="2" l="1"/>
  <c r="A91" i="2" s="1"/>
  <c r="A90" i="2"/>
  <c r="C92" i="2" l="1"/>
  <c r="A92" i="2" l="1"/>
  <c r="C93" i="2"/>
  <c r="C94" i="2" l="1"/>
  <c r="A93" i="2"/>
  <c r="A94" i="2" l="1"/>
  <c r="C95" i="2"/>
  <c r="C96" i="2" l="1"/>
  <c r="A95" i="2"/>
  <c r="A96" i="2" l="1"/>
  <c r="C97" i="2"/>
  <c r="A97" i="2" l="1"/>
  <c r="C98" i="2"/>
  <c r="A98" i="2" l="1"/>
  <c r="C99" i="2"/>
  <c r="A99" i="2" l="1"/>
  <c r="C100" i="2"/>
  <c r="A100" i="2" s="1"/>
</calcChain>
</file>

<file path=xl/sharedStrings.xml><?xml version="1.0" encoding="utf-8"?>
<sst xmlns="http://schemas.openxmlformats.org/spreadsheetml/2006/main" count="1755" uniqueCount="682">
  <si>
    <t>Instrument</t>
  </si>
  <si>
    <t>Order by Date</t>
  </si>
  <si>
    <t>Image Path</t>
  </si>
  <si>
    <t>Vol</t>
  </si>
  <si>
    <t>Page</t>
  </si>
  <si>
    <t>Instrument No.
San Jacinto</t>
  </si>
  <si>
    <t>File Date</t>
  </si>
  <si>
    <t>Inst. Date</t>
  </si>
  <si>
    <t>Grantor</t>
  </si>
  <si>
    <t>Grantee</t>
  </si>
  <si>
    <t>Land Desc.</t>
  </si>
  <si>
    <t>Remarks</t>
  </si>
  <si>
    <t>Mineral Deed</t>
  </si>
  <si>
    <t>2013000463</t>
  </si>
  <si>
    <t>Lewis R. Tyra and Charlyn K. Tyra</t>
  </si>
  <si>
    <t>LCT Revocable Trust</t>
  </si>
  <si>
    <t>All property</t>
  </si>
  <si>
    <t>Order/LWT</t>
  </si>
  <si>
    <t>20-519-CP4</t>
  </si>
  <si>
    <t>OGML-ElmoreFamilyPartners</t>
  </si>
  <si>
    <t>OGML</t>
  </si>
  <si>
    <t>Unrecorded</t>
  </si>
  <si>
    <t>Elmore Family Partners, Ltd.</t>
  </si>
  <si>
    <t>Magnolia Petroleum Company, LLC</t>
  </si>
  <si>
    <t>OGML-LCT-Trust</t>
  </si>
  <si>
    <t>3 years, 1/4 royalty; see lease addendum</t>
  </si>
  <si>
    <t>Estate of Lewis Riley Tyra, dec'd, Charlyn Kendrick Tyra, Independent Executrix</t>
  </si>
  <si>
    <t>OGML-Tyra_R</t>
  </si>
  <si>
    <t>Richard N. Tyra</t>
  </si>
  <si>
    <t>DOTO</t>
  </si>
  <si>
    <t>DOTO_ElmoreC-1_Unit</t>
  </si>
  <si>
    <t>John G. Gaston, Attorney</t>
  </si>
  <si>
    <t>Famcor Oil, Inc.</t>
  </si>
  <si>
    <t>11-769</t>
  </si>
  <si>
    <t>Public</t>
  </si>
  <si>
    <t xml:space="preserve">Unit Amendment </t>
  </si>
  <si>
    <t>330.027, ref. 09-0253</t>
  </si>
  <si>
    <t>Amends error in description and includes an additional lease</t>
  </si>
  <si>
    <t>Release OGML</t>
  </si>
  <si>
    <t>11-2474</t>
  </si>
  <si>
    <t>338.759, Exh. A., 06-2553</t>
  </si>
  <si>
    <t>Appears to release land not included in the Elmore Unit, 09-0253</t>
  </si>
  <si>
    <t>Appears to release land not included in the Elmore Unit, 09-0253.
Instrument includes an Exhibit A describing the lands within the lease.</t>
  </si>
  <si>
    <t>11-3054</t>
  </si>
  <si>
    <t>Partial Release OGML</t>
  </si>
  <si>
    <t>20171749</t>
  </si>
  <si>
    <t>223.16 acres, six tracts, Exh. A., Ref. 06-2553</t>
  </si>
  <si>
    <t>20200790</t>
  </si>
  <si>
    <t>Release Oil and Gas Leases</t>
  </si>
  <si>
    <t>Appears to be all the leases included in the Elmore C-1 Unit Designation</t>
  </si>
  <si>
    <t>Assignment and Bill of Sale</t>
  </si>
  <si>
    <t>20162866</t>
  </si>
  <si>
    <t>Famcor Oil, Inc. and Famray Investment, L.P.</t>
  </si>
  <si>
    <t>Exh. A-1: Elmore C-1 Unit Well &amp; Leases</t>
  </si>
  <si>
    <t>See page 13. (13478)</t>
  </si>
  <si>
    <t>James and Terri Ray</t>
  </si>
  <si>
    <t>See page 9</t>
  </si>
  <si>
    <t>20172084</t>
  </si>
  <si>
    <t>20175815</t>
  </si>
  <si>
    <t>Stipulation of Interest</t>
  </si>
  <si>
    <t>20165198</t>
  </si>
  <si>
    <t>Magnolia Petroleum Company, LLC et al</t>
  </si>
  <si>
    <t>each other</t>
  </si>
  <si>
    <t>Exh. A: Elmore C-1 Unit Well &amp; Leases</t>
  </si>
  <si>
    <t>COG Resources, LP</t>
  </si>
  <si>
    <t>25% Arcadia Operating, LLC and 
75% Magnolia Petroleum Company, LLC</t>
  </si>
  <si>
    <t>See page 10</t>
  </si>
  <si>
    <t>1</t>
  </si>
  <si>
    <t>SurfAgmt_Quellhorst</t>
  </si>
  <si>
    <t>Gerrit Jan Quellhorst and wife, Ramona A. Quellhorst</t>
  </si>
  <si>
    <t xml:space="preserve">Magnolia Petroleum Company, LLC and Arcadia Operating, LLC </t>
  </si>
  <si>
    <t>Agreement to use one and one-half acres for oil and gas drilling operations. See map attached to agreement.</t>
  </si>
  <si>
    <t>Lot 9 &amp; 10 Blk 1, Hillcreek Addition, ref. 189/768, being 5.4 acres, A-300</t>
  </si>
  <si>
    <t>Documents Hyperlinked to TORS_Documents Folder</t>
  </si>
  <si>
    <t>20176874</t>
  </si>
  <si>
    <t>20185813</t>
  </si>
  <si>
    <t>20176399</t>
  </si>
  <si>
    <t>20193388</t>
  </si>
  <si>
    <t>Nearburg Exploration Company, LLC</t>
  </si>
  <si>
    <t>LIS Oil &amp; Gas LTD</t>
  </si>
  <si>
    <t>Patrick P. Ray Trust</t>
  </si>
  <si>
    <t>Surface Agreement and Damage Release</t>
  </si>
  <si>
    <t>H.C. Aiken</t>
  </si>
  <si>
    <t xml:space="preserve">Shriners Hospitals for Children </t>
  </si>
  <si>
    <t>The Museum of Fine Arts, Houston</t>
  </si>
  <si>
    <t>St. Thomas High School</t>
  </si>
  <si>
    <t>Louise J. Moran Foundation</t>
  </si>
  <si>
    <t>Shine LLC</t>
  </si>
  <si>
    <t>Elizabeth K. Holmes</t>
  </si>
  <si>
    <t>Franke Natural Resources, L.P</t>
  </si>
  <si>
    <t>Bruce L. Franke</t>
  </si>
  <si>
    <t>Patrick J. Moran and John E. O'Neill
Trustees of the Patrick J. Moran Trust</t>
  </si>
  <si>
    <t>LJM Trust;
C.W. Sunday and Allen L. Jogers, Trustees</t>
  </si>
  <si>
    <t>KMF Management Trust UTD February 5, 2008; Kenneth Michael Franke, Trustee</t>
  </si>
  <si>
    <t>The Board of Regents of the U of T
System, fbo M.D. Anderson Cancer Center</t>
  </si>
  <si>
    <t>Patrick J. Moran and Texas Commerce Bank National Association, Trustees of the Moran Employees Trust</t>
  </si>
  <si>
    <t>Ann E. Moran</t>
  </si>
  <si>
    <t>Patrick J. Moran and Howard Letcher, Trustees of the W.T. Moran III Trust</t>
  </si>
  <si>
    <t>Moran Properties, Inc.</t>
  </si>
  <si>
    <t>William S. Poinsett</t>
  </si>
  <si>
    <t>Judith Lee Poinsett Properties, LLC</t>
  </si>
  <si>
    <t>Leroy M. Poinsett, Jr.</t>
  </si>
  <si>
    <t>Texas Commerce Bank National Association, Trustee of the Margaret Ann Dell Osso Trust</t>
  </si>
  <si>
    <t>Mae G. Shapley</t>
  </si>
  <si>
    <t>N.A.B. Oil &amp; Gas Holdings, Inc.</t>
  </si>
  <si>
    <t>Byrne Family, L.L.C.</t>
  </si>
  <si>
    <t>M. Klein Enterprises, LLC</t>
  </si>
  <si>
    <t>Patrick J. Moran and W.T. Moran III, Trustees of the James P. Poinsett Trust</t>
  </si>
  <si>
    <t>Billie Jo Trapp</t>
  </si>
  <si>
    <t>Laura Ann Wellborn</t>
  </si>
  <si>
    <t>Lily Lois Speer</t>
  </si>
  <si>
    <t>Pete McClanahan</t>
  </si>
  <si>
    <t>Vivian McCune</t>
  </si>
  <si>
    <t>Virginia L. Hamblen-Dove</t>
  </si>
  <si>
    <t>20212816</t>
  </si>
  <si>
    <t>Bradbury Family Investments, LLC</t>
  </si>
  <si>
    <t>Bailey James Ellisor</t>
  </si>
  <si>
    <t>20214839</t>
  </si>
  <si>
    <t>Jerry Broussard and Kristin Broussard</t>
  </si>
  <si>
    <t>20223159</t>
  </si>
  <si>
    <t>Edgar Epitacio Gallegos and Miguel Angel Cervera Gallegos, a married couple</t>
  </si>
  <si>
    <t>20230583</t>
  </si>
  <si>
    <t>Steven Ross Denman and wife, LaNee Denman</t>
  </si>
  <si>
    <t>20246347</t>
  </si>
  <si>
    <t>20216239</t>
  </si>
  <si>
    <t>Country Living Construction, LLC</t>
  </si>
  <si>
    <t>20216715</t>
  </si>
  <si>
    <t>20219038</t>
  </si>
  <si>
    <t>20226564</t>
  </si>
  <si>
    <t>20222653</t>
  </si>
  <si>
    <t>Calvin Barrington and wife, Chelsea Smith Barrington</t>
  </si>
  <si>
    <t>20222685</t>
  </si>
  <si>
    <t>Heather Ann Henson and Raigan Gwen Mayo</t>
  </si>
  <si>
    <t>20226398</t>
  </si>
  <si>
    <t>James Brian Edwards and Wanda Jeanene Edwards</t>
  </si>
  <si>
    <t>20226530</t>
  </si>
  <si>
    <t>Joseph Margiotta</t>
  </si>
  <si>
    <t>20240688</t>
  </si>
  <si>
    <t>Joseph Margiotta, a single person</t>
  </si>
  <si>
    <t>Candy Lynne Deloach</t>
  </si>
  <si>
    <t>20242142</t>
  </si>
  <si>
    <t>Edgar Epitacio Gallegos and Miguel Angel Cervera Gallegos</t>
  </si>
  <si>
    <t>Daniel McRorie and Heather McRorie</t>
  </si>
  <si>
    <t>WD w/VL</t>
  </si>
  <si>
    <t>GWD w/VL</t>
  </si>
  <si>
    <t>GWD</t>
  </si>
  <si>
    <t>General Warranty Gift Deed</t>
  </si>
  <si>
    <t>WD</t>
  </si>
  <si>
    <t>Jo Briley Owen</t>
  </si>
  <si>
    <t>Rigby Owen, Jr., Stephen J. Owen, and Sandra Owen Powell</t>
  </si>
  <si>
    <t>306.07 ac, more or less, Thomas Webb Survey, A-300, &amp; Vital Flores Survey, A-14, San Jacinto County, desc. M&amp;B in Exh. A</t>
  </si>
  <si>
    <t>Gift Deed of Mineral Interest</t>
  </si>
  <si>
    <t>Wanda J. Peck, an unmarried Individual</t>
  </si>
  <si>
    <t>Shawn C. Peck</t>
  </si>
  <si>
    <t>20.56 ac., more or less, Thomas Webb Survey, A-300, San Jacinto County, desc. by Surveyor in Exhibit</t>
  </si>
  <si>
    <t>Wanda J. Peck, as Ind. Executor of Est. of Michael J. Peck, dec'd</t>
  </si>
  <si>
    <t>Wanda J. Peck, as Trustee of the Michael J. Peck and Wanda J. Peck Revocable Living Trust</t>
  </si>
  <si>
    <t>Und. 1/2 interest in 20.546 ac., Tr. 12, Thomas Webb Survey, A-300, San Jacinto County, also known as 101 Peacock Lane, Cleveland, TX 77328</t>
  </si>
  <si>
    <t>20150085</t>
  </si>
  <si>
    <t>Wanda J. Peck</t>
  </si>
  <si>
    <t>20.56 ac., more or less, Thomas Webb Survey, A-300, San Jacinto County, also known as 101 Peacock Lane, Cleveland, TX 77328</t>
  </si>
  <si>
    <t>20151095</t>
  </si>
  <si>
    <t>20195601</t>
  </si>
  <si>
    <t>20.56 ac., more or less, Thomas Webb Survey, A-300, desc. Vol. 92 Pg.2, DR of San Jacinto County, &amp; desc, M&amp;B</t>
  </si>
  <si>
    <t>Gift Deed</t>
  </si>
  <si>
    <t>Executors SWD</t>
  </si>
  <si>
    <t>SWD</t>
  </si>
  <si>
    <t>Trustee's SWD</t>
  </si>
  <si>
    <t>20205047</t>
  </si>
  <si>
    <t>Shawn C. Peck &amp; Laurey Peck, a married couple</t>
  </si>
  <si>
    <t>K's Humble Yamaha, Inc.</t>
  </si>
  <si>
    <t>P2018-68</t>
  </si>
  <si>
    <t>20201299</t>
  </si>
  <si>
    <t>Joyce Marie Bonds, Individually and as Independent Executrix of Est. of Thomas Lester Bonds, dec'd</t>
  </si>
  <si>
    <t>Mark Thornbrough</t>
  </si>
  <si>
    <t>Order &amp; LWT</t>
  </si>
  <si>
    <t>20207109</t>
  </si>
  <si>
    <t>Sharon G. Koerner</t>
  </si>
  <si>
    <t>20210747</t>
  </si>
  <si>
    <t>Adalberto Garcia Ochoa &amp; Jessika G. Garcia</t>
  </si>
  <si>
    <t>20216713</t>
  </si>
  <si>
    <t>Sharon G. Koerner &amp; Monty Kyle Koerner, Wife &amp; Husband</t>
  </si>
  <si>
    <t>Crystal Corona &amp; Alvaro Corona, Jr., Wife and Husband</t>
  </si>
  <si>
    <t>20220813</t>
  </si>
  <si>
    <t>Sharon G. Koerner &amp; Monty Koerner, Wife &amp; Husband</t>
  </si>
  <si>
    <t>Craig Michael Plaisance, a Married Man &amp; Daniel Bruce Ferguson, A Single Person</t>
  </si>
  <si>
    <t>20254367</t>
  </si>
  <si>
    <t>Old Hickory Hill, LLC.</t>
  </si>
  <si>
    <t>Estate of Ann Childers Browder, dec'd by Jane Childers Browder, Independent Executrix</t>
  </si>
  <si>
    <t>Browder Family Trust, Jane Childers Browder, Trustee</t>
  </si>
  <si>
    <t>Jane Childers Browder, a single person</t>
  </si>
  <si>
    <t>John A. Few, a married person, as his sole and separate property</t>
  </si>
  <si>
    <t>Any and all real property owned by Grantor in San Jacinto County, Texas, including but not limited to those parcels desc. as Tr. 1-15, Exh. A, S&amp;E 2 unrelated tracts.</t>
  </si>
  <si>
    <t>Jane Childers Browder, Independent Executrix of the Est. of Ann Childers Browder, dec'd</t>
  </si>
  <si>
    <t>Jane Childers Browder, Trustee of the Jane Childers Browder Trust</t>
  </si>
  <si>
    <t>All property owned in San Jacinto County. 10 tracts described in Exhibit A.</t>
  </si>
  <si>
    <t>Jane C. Browder, a single person</t>
  </si>
  <si>
    <t>Any and all property owned in San Jacinto County, described as Tr. 1-15, Exh. A, S&amp;E 2 unrelated tracts.</t>
  </si>
  <si>
    <t>Gift SWD</t>
  </si>
  <si>
    <t>Executors Distributon Deed</t>
  </si>
  <si>
    <t>Distribution SWD</t>
  </si>
  <si>
    <t>2014001943</t>
  </si>
  <si>
    <t>2014001940</t>
  </si>
  <si>
    <t>2014001941</t>
  </si>
  <si>
    <t>JP Morgan Chase Bank, N.A. - W. Frank Lenoir GST Exempt &amp; Non-Exempt Trust, W. Frank Lenoir Bypass, Lucy Lenoir GST Exempt and Non-Exempt Trust all for the benefit of Walter F. Lenoir, III</t>
  </si>
  <si>
    <t>Resignation of Co-Trustee</t>
  </si>
  <si>
    <t>Successor Co-Trustee Appt. &amp; Acceptance</t>
  </si>
  <si>
    <t>20172985</t>
  </si>
  <si>
    <t>SWD w/ VL</t>
  </si>
  <si>
    <t>20242639</t>
  </si>
  <si>
    <t>Robert H. Trapp</t>
  </si>
  <si>
    <t>POA</t>
  </si>
  <si>
    <t>P2025-4</t>
  </si>
  <si>
    <t>24CPR0065_Order</t>
  </si>
  <si>
    <t>24CPR0065_LWT</t>
  </si>
  <si>
    <t>LWT</t>
  </si>
  <si>
    <t>20172674</t>
  </si>
  <si>
    <t>Jackie Lofland, concerning the Estate of Vivian McClanahan McCune</t>
  </si>
  <si>
    <t>States that Tinabeth McCune Keasling and Sara McCune Keisler are the daughters of Vivian.</t>
  </si>
  <si>
    <t>AOH</t>
  </si>
  <si>
    <t>20242292</t>
  </si>
  <si>
    <t>Suzanne Bennett, concerning the Estate of Vivian McClanahan McCune</t>
  </si>
  <si>
    <t>20174126</t>
  </si>
  <si>
    <t>Estate of Virginia Louise Hamblen Dove by Shelley Hamblen Musgrave &amp; Rebecca Hamblen Drapak, joint Independent Executrices</t>
  </si>
  <si>
    <t>Shelley Hamblen Musgrave &amp; Rebecca Hamblen Drapak</t>
  </si>
  <si>
    <t>20191765</t>
  </si>
  <si>
    <t>Bruce Colman Hill</t>
  </si>
  <si>
    <t>The Bruce Colman Hill Trust</t>
  </si>
  <si>
    <t>Quitclaim Deed of Mineral Interest</t>
  </si>
  <si>
    <t>20235164</t>
  </si>
  <si>
    <t>Peter Hill Kraft, being the court appointed Fiduciary of the Estate of Kathleen Ann Hill</t>
  </si>
  <si>
    <t>Peter Hill Kraft &amp; Tracy Kraft</t>
  </si>
  <si>
    <t>20236699</t>
  </si>
  <si>
    <t>Lee Elliot Busby, of Livermore, CA, being the Successor Trustee of The Bruce Colman Hill Trust</t>
  </si>
  <si>
    <t>2018-CPC-00366</t>
  </si>
  <si>
    <t xml:space="preserve">Doug Wellborn </t>
  </si>
  <si>
    <t>Jo Briley Owen
c/o Rigby Owen, Jr.</t>
  </si>
  <si>
    <t>Estate of Bridges Browder, deceased
Jane Childers Browder, Independent Executrix
and Trustee</t>
  </si>
  <si>
    <t>Lily Speer</t>
  </si>
  <si>
    <t>Virginia Hamblen Dove</t>
  </si>
  <si>
    <t xml:space="preserve">Doug Wellborn                                                                                                                                              </t>
  </si>
  <si>
    <t>Laura Ann Wellborn Chestnut</t>
  </si>
  <si>
    <t>Bruce Coleman Hill</t>
  </si>
  <si>
    <t>Kathleen Anne Hill</t>
  </si>
  <si>
    <t>Jane Alison Hill</t>
  </si>
  <si>
    <t>Robert Moore Hill, Jr.</t>
  </si>
  <si>
    <t>Cyrus Lee Lipe</t>
  </si>
  <si>
    <t>Laura Ann Wellborn Lakavage</t>
  </si>
  <si>
    <t>Claude Lester Harman, Jr. and Donald Wayne
Harman, Trustees under Trust Agreement
dated November 13, 1969 executed by 
Claude Lester Harman, Sr. as Trustor
c/o Donald Wayne Harmon</t>
  </si>
  <si>
    <t>Claude Lester Harman, Jr.</t>
  </si>
  <si>
    <t>Bruce Hill</t>
  </si>
  <si>
    <t>Kathleen Ann Hill</t>
  </si>
  <si>
    <t>Alison Hill</t>
  </si>
  <si>
    <t>Thomas L. Bonds and Joyce D. Bonds</t>
  </si>
  <si>
    <t>Southern Timbergrowers, Inc.</t>
  </si>
  <si>
    <t xml:space="preserve">Wanda J. Peck, and husband Michael J. Peck                                                                                                                                                             </t>
  </si>
  <si>
    <t>Richard M. McDaniel</t>
  </si>
  <si>
    <t>Kenneth W. McDaniel</t>
  </si>
  <si>
    <t>Patricia J. McDaniel</t>
  </si>
  <si>
    <t>Kathy Richmond</t>
  </si>
  <si>
    <t>1/3 x 1/16</t>
  </si>
  <si>
    <t>1/18 x 1/16</t>
  </si>
  <si>
    <t>1/6 x 1/16</t>
  </si>
  <si>
    <t>1/9 x 1/16</t>
  </si>
  <si>
    <t>Southern Timbergrowers, Incorporated</t>
  </si>
  <si>
    <t>P. J. Moran Foundation, Ann E. Moran, as Trustee of the Ann E. Moran Living Trust; and Romoka Resources, LLC</t>
  </si>
  <si>
    <t>Mayan Oil &amp; Gas, LLC</t>
  </si>
  <si>
    <t>Romoka Resources, LLC</t>
  </si>
  <si>
    <t>William T. Moran III, and Lois G. Moran, Joint Tenants with Rights of Survivorship</t>
  </si>
  <si>
    <t>Ronan Halliday Moran, Molly Elizabeth (Moran) Debault, Katherine Louise Moran</t>
  </si>
  <si>
    <t>1/3 to each of the 16 2/3% interest owned</t>
  </si>
  <si>
    <t>SW Mineral Deed</t>
  </si>
  <si>
    <t>Mineral and Royalty Deed</t>
  </si>
  <si>
    <t>Correction SW Mineral Deed</t>
  </si>
  <si>
    <t>Correction SW Gift Mineral Deed</t>
  </si>
  <si>
    <t>Executors Distribution Deed</t>
  </si>
  <si>
    <t>The surface estates granted by QC Deed unto Elmore Family Partners Limited as recorded in OPR of San Jacinto County, Texas on May 25, 2007/File #20072926/Page 16005</t>
  </si>
  <si>
    <t>QC of Mineral Interest</t>
  </si>
  <si>
    <t>Correction because property description was ambiguous</t>
  </si>
  <si>
    <t>Deed, Assignment, &amp; Conveyance</t>
  </si>
  <si>
    <t>Ann Elizabeth Moran, Trustee of the Ann E. Moran Living Trust dated March 20, 2013</t>
  </si>
  <si>
    <t>Sek Rose Resources LLC</t>
  </si>
  <si>
    <t>20212728</t>
  </si>
  <si>
    <t>Assignment, Conveyance, and Bill of Sale</t>
  </si>
  <si>
    <t>OGML_Harman_Claude</t>
  </si>
  <si>
    <t>OGML_Drapak</t>
  </si>
  <si>
    <t>OGML_Trapp_Robt</t>
  </si>
  <si>
    <t>OGML_Trapp_Downey</t>
  </si>
  <si>
    <t>OGML_McClanahan</t>
  </si>
  <si>
    <t>OGML_Tinabeth_Keasling</t>
  </si>
  <si>
    <t>OGML_Powell</t>
  </si>
  <si>
    <t>OGML_Owen_Rigby&amp;Steven</t>
  </si>
  <si>
    <t>OGML_Few</t>
  </si>
  <si>
    <t>OGML_Kraft</t>
  </si>
  <si>
    <t>OGML_Harman_Donald</t>
  </si>
  <si>
    <t xml:space="preserve">Claude Lester Harman, Jr., Individually and as Co-Independent Executors of the Estate of Claude L. Harman, dec'd, and as Trustee under Trust Agreement created by Claude L. Harman
dated November 13, 1969 </t>
  </si>
  <si>
    <t xml:space="preserve">Donald Harman, Individually and as Co-Independent Executors of the Estate of Claude L. Harman, dec'd, and as Trustee under Trust Agreement created by Claude L. Harman
dated November 13, 1969 </t>
  </si>
  <si>
    <t>John A. Few, Sr.</t>
  </si>
  <si>
    <t>Robert Hill Trapp</t>
  </si>
  <si>
    <t>Benita Trapp Downey</t>
  </si>
  <si>
    <t>Tinabeth Keasling</t>
  </si>
  <si>
    <t>Sandra Owen Powell</t>
  </si>
  <si>
    <t>Rigby Owen, Jr. &amp; Stephen J. Owen, as their sole and separate property</t>
  </si>
  <si>
    <t>Raigan Gwen Mayo, as her sole and separate property, and Heather Ann Henson, as her sole and separate property</t>
  </si>
  <si>
    <t>Jerry Broussard, as his sole and separate property, and Kristin Broussard, as her sole and separate property</t>
  </si>
  <si>
    <t>Candy Lynne Deloach, as her sole and separate property</t>
  </si>
  <si>
    <t>Old Hickory Hill, LLC</t>
  </si>
  <si>
    <t>Estate of Mae G. Shapley by Susan S. Fralick</t>
  </si>
  <si>
    <t>1/640 - SJC Record search revealed no subsequent documents</t>
  </si>
  <si>
    <t>10% x 26% x (1/64 - 1/640) - SJC Record search revealed no subsequent documents</t>
  </si>
  <si>
    <t>60% x 26% x (1/64 - 1/640) - SJC Record search revealed no subsequent documents</t>
  </si>
  <si>
    <t>1/5 x 24% x (1/64 - 1/640) - SJC Record search revealed no subsequent documents</t>
  </si>
  <si>
    <t>20% x (1/64 - 1/640) - SJC Record search revealed no subsequent documents</t>
  </si>
  <si>
    <t>6.06% x (1/64 - 1/640) - SJC Record search revealed no subsequent documents</t>
  </si>
  <si>
    <t>3.07% x (1/64 - 1/640) - SJC Record search revealed no subsequent documents</t>
  </si>
  <si>
    <t>.67667% x (1/64 - 1/640) - SJC Record search revealed no subsequent documents</t>
  </si>
  <si>
    <t>1.54% x (1/64 - 1/640) - SJC Record search revealed no subsequent documents</t>
  </si>
  <si>
    <t>1.02% x (1/64 - 1/640) - SJC Record search revealed no subsequent documents</t>
  </si>
  <si>
    <t>1/2 x 1.02% x (1/64 - 1/640) - SJC Record search revealed no subsequent documents</t>
  </si>
  <si>
    <t>.5% x (1/64 - 1/640) - SJC Record search revealed no subsequent documents</t>
  </si>
  <si>
    <t>.67666% x (1/64 - 1/640) - SJC Record search revealed no subsequent documents</t>
  </si>
  <si>
    <t>Rebecca Hamblen Drapak</t>
  </si>
  <si>
    <t>Lewis R. Tyra and Charlyn K. Tyra as Co-Trustees of the LCT Revocable Trust</t>
  </si>
  <si>
    <t>Lewis R. Tyra, joined pro forma by spouse, Charlyn K. Tyra</t>
  </si>
  <si>
    <t>All oil, gas and minerals and royalty in San Jacinto County, TX</t>
  </si>
  <si>
    <t xml:space="preserve">330.027 acres, A-300 &amp; A-14; Unit Tr. 6
(Tract 1 of the proposed Elmore #1 Unit)
</t>
  </si>
  <si>
    <t>Exh. B, Pg. 68</t>
  </si>
  <si>
    <t>Richard N. Tyra, as his separate property</t>
  </si>
  <si>
    <t xml:space="preserve">17/84 MI </t>
  </si>
  <si>
    <t>Estate of W. Frank Lenior Jr., deceased; Compass Bank, W. Frank Lenoir III, and JoEllen Lenoir Blunk, Independent Co-Executors and Co-Trustees</t>
  </si>
  <si>
    <t>1/2 x 25/420 MI</t>
  </si>
  <si>
    <t>17/84 MI</t>
  </si>
  <si>
    <t>1/3 x 17/84 MI</t>
  </si>
  <si>
    <t>1/6 x 17/84 MI</t>
  </si>
  <si>
    <t>1/9 x 17/84 MI</t>
  </si>
  <si>
    <t>1/18 x 17/84 MI</t>
  </si>
  <si>
    <t>1/4 x 5/56 MI</t>
  </si>
  <si>
    <t>1/4 x 10/420 MI</t>
  </si>
  <si>
    <t>1/4 MI</t>
  </si>
  <si>
    <t>1/2 MI</t>
  </si>
  <si>
    <t>10/420 MI</t>
  </si>
  <si>
    <t>20% x 25/420 MI</t>
  </si>
  <si>
    <t>80% x 25/420 MI</t>
  </si>
  <si>
    <t>17/84 - 1/8 MI</t>
  </si>
  <si>
    <t>1/8 MI</t>
  </si>
  <si>
    <t>185.434 ac., more or less, A-14 &amp; A-300, San Jacinto Co., Texas
Tr. 2, 3, 5, &amp; 6</t>
  </si>
  <si>
    <t>200.75 ac., more or less A-14 &amp;A-300, San Jacinto Co., Texas</t>
  </si>
  <si>
    <t xml:space="preserve">2.0 ac., more or less, A-300, San Jacinto Co., Texas
</t>
  </si>
  <si>
    <t xml:space="preserve">10.9 ac., more or less, A-300, San Jacinto Co., Texas
</t>
  </si>
  <si>
    <t>79.244 ac., more or less, A-14 &amp; A-300, San Jacinto Co., Texas
Tr. 3, 5, &amp; 6</t>
  </si>
  <si>
    <t>5.0 ac., more or less, A-14, San Jacinto Co., Texas</t>
  </si>
  <si>
    <t xml:space="preserve">330.027 acres, A-300 &amp; A-14; Unit Tr. 5
(Tract 3 of the proposed Elmore #1 Unit)
</t>
  </si>
  <si>
    <t xml:space="preserve">330.027 acres, A-300 &amp; A-14; Unit Tr. 4
(Tract 5 of the proposed Elmore #1 Unit)
</t>
  </si>
  <si>
    <t xml:space="preserve">330.027 acres, A-300 &amp; A-14; Unit Tr. 2
(Tract 6 of the proposed Elmore #1 Unit)
</t>
  </si>
  <si>
    <t xml:space="preserve">330.027 acres, A-300 &amp; A-14; Unit Tr. 3
(Tract 4 of the proposed Elmore #1 Unit)
</t>
  </si>
  <si>
    <t>Exh. B, Pg. 36</t>
  </si>
  <si>
    <t>Exh. B, Pg. 37</t>
  </si>
  <si>
    <t>Exh. B, Pg. 38</t>
  </si>
  <si>
    <t>Exh. B, Pg. 44</t>
  </si>
  <si>
    <t>Exh. B, Pg. 45</t>
  </si>
  <si>
    <t>Exh. B, Pg. 46</t>
  </si>
  <si>
    <t>Exh. B, Pg. 50</t>
  </si>
  <si>
    <t>Exh. B, Pg. 49</t>
  </si>
  <si>
    <t>Exh. B, Pg. 56</t>
  </si>
  <si>
    <t>Exh. B, Pg. 54</t>
  </si>
  <si>
    <t>Exh. B, Pg. 55</t>
  </si>
  <si>
    <t>Exh. B, Pg. 62</t>
  </si>
  <si>
    <t>Exh. B, Pg. 63</t>
  </si>
  <si>
    <t>Exh. B, Pg. 64</t>
  </si>
  <si>
    <t>Exh. B, Pg. 72</t>
  </si>
  <si>
    <t>Decimal Mineral Ownership per 6/4/2009 DOTO</t>
  </si>
  <si>
    <t xml:space="preserve">330.027 acres, A-300 &amp; A-14; Unit Tr. 7
</t>
  </si>
  <si>
    <t xml:space="preserve">330.027 acres, A-300 &amp; A-14; Seven Unit Tracts
</t>
  </si>
  <si>
    <t>Tract 6 is the Drillsite Lease of the proposed Elmore #1 Unit</t>
  </si>
  <si>
    <t>Bendel Ventures, LP1</t>
  </si>
  <si>
    <t>Bendel Ventures, LP2</t>
  </si>
  <si>
    <t>Appears to release a portion of the land included in the Elmore Unit, 09-0253.
Note: The drillsite tract (Tr. 6 (106.19ac.) 107.236 ac.) was not released.</t>
  </si>
  <si>
    <t>330.027 ac., Elmore C-1 Unit.</t>
  </si>
  <si>
    <t>3 years, 1/5 royalty; see lease addendum</t>
  </si>
  <si>
    <t>Real property not specifically identified</t>
  </si>
  <si>
    <t>Article 2 Disposition to Trust, LCT Revocable Trust</t>
  </si>
  <si>
    <t>108.73 acres, A-300
Note:  Lease covers the drillsite tract being the Proposed Dr. Elmore #1 Unit Tract 1, 55.5016 ac.</t>
  </si>
  <si>
    <t>330.027 acres, A-300 &amp; A-14
Note: Lease Tr. 2 covers the drillsite tract being the Proposed Dr. Elmore #1 Unit Tract 1, 55.5016 ac.</t>
  </si>
  <si>
    <t xml:space="preserve">330.027 acres, A-300 &amp; A-14; Unit Tr. 1
(Tract 2 of the proposed Dr. Elmore #1 Unit)
</t>
  </si>
  <si>
    <t>Estate of Lucy W. Lenior Jr., deceased; Compass Bank, W. Frank Lenoir III, and JoEllen Lenoir Blunk, Independent Co-Executors</t>
  </si>
  <si>
    <t>Subsequent Title</t>
  </si>
  <si>
    <t>09-3821</t>
  </si>
  <si>
    <t xml:space="preserve">Coveys all to share equally, as separate property. </t>
  </si>
  <si>
    <t>11-4768</t>
  </si>
  <si>
    <t>CC Order &amp; LWT</t>
  </si>
  <si>
    <t>Article V. Residue: all to Trustee in Trust, Article VII: Family Trust; Browder Family Trust</t>
  </si>
  <si>
    <t>All property owned in San Jacinto County including but not limited to the Exh. A property.</t>
  </si>
  <si>
    <t>Jane Childers Browder, Trustee of the Jane C. Browder Trust</t>
  </si>
  <si>
    <t>Compass Bank as Co-Trustee of the Trusts: W. Frank Lenoir GST Exempt &amp; Non-Exempt Trust, W. Frank Lenoir Bypass, Lucy Lenoir GST Exempt and Non-Exempt Trust all for the benefit of Walter F. Lenoir, III</t>
  </si>
  <si>
    <t>Includes provision 4 (c) to 2014001940</t>
  </si>
  <si>
    <t>JoEllen Lenoir Blunk &amp; Walter Frank Lenoir, III and JPMorgan Chase Bank (Parties)</t>
  </si>
  <si>
    <t>Compass Bank resigns as Co-Trustee</t>
  </si>
  <si>
    <t xml:space="preserve">106.239 acres, more or less, Vital Flores Survey, A-14, San Jacinto County, Texas Bg. a portion of that called 108.3413 acre tract ref. 10-6044 and all of 106.19 acres, ref. 130/488 Bg. desc. by M&amp;B Exh. A, </t>
  </si>
  <si>
    <t>Executors Deed</t>
  </si>
  <si>
    <t>10-6044</t>
  </si>
  <si>
    <t xml:space="preserve">Compass Bank, JoEllen Lenoir Blunk and W. Frank Lenoir, III as independent co-executors of the estate of Lucy W. Lenoir, deceased </t>
  </si>
  <si>
    <t>Conveys und. 1/2 in equal und. Interests, 1/4 each.</t>
  </si>
  <si>
    <t>(1) Compass Bank, JoEllen Lenoir Blunk and W. Frank Lenoir, III, as Co-Trustees of the JoEllen Lenoir Blunk Trust No. 1, and (2) Compass Bank, JoEllen Lenoir Blunk and W. Frank Lenoir, III, as Co-Trustees of the W. Frank Lenoir III, Trust No. 1</t>
  </si>
  <si>
    <t>108.3413 acres, more or less, A-14, ref. 130/488, 183/815 and 38/130 SJC DR.</t>
  </si>
  <si>
    <t>10-6043</t>
  </si>
  <si>
    <t xml:space="preserve">Compass Bank, JoEllen Lenoir Blunk and W. Frank Lenoir, III as independent co-executors of the estate of W. Frank Lenoir, Jr., deceased </t>
  </si>
  <si>
    <t>Appoints as Successor Co-Trustee: JP Morgan Chase Bank, N.A.</t>
  </si>
  <si>
    <t>2014001942</t>
  </si>
  <si>
    <t>Compass Bank as Co-Trustee of the Trusts: W. Frank Lenoir GST Exempt &amp; Non-Exempt Trust, W. Frank Lenoir Bypass, Lucy Lenoir GST Exempt and Non-Exempt Trust all for the benefit of JoEllen Blunk</t>
  </si>
  <si>
    <t>Cameron County</t>
  </si>
  <si>
    <t>Chambers</t>
  </si>
  <si>
    <t>669.115 ac., more or less, A-300 &amp; A-14, San Jacinto Co., TX</t>
  </si>
  <si>
    <t>Doug Wellborn</t>
  </si>
  <si>
    <t>Ratification</t>
  </si>
  <si>
    <t xml:space="preserve">Peter Hill Kraft
</t>
  </si>
  <si>
    <t>Certified Copy of Probate</t>
  </si>
  <si>
    <t>3 years, 1/5 royalty</t>
  </si>
  <si>
    <t>3 years, 1/6 royalty</t>
  </si>
  <si>
    <t>09-3941</t>
  </si>
  <si>
    <t>09-4292</t>
  </si>
  <si>
    <t>09-4291</t>
  </si>
  <si>
    <t>09-4769</t>
  </si>
  <si>
    <t>09-4770</t>
  </si>
  <si>
    <t>09-2054</t>
  </si>
  <si>
    <t>09-6968</t>
  </si>
  <si>
    <t>10-2493</t>
  </si>
  <si>
    <t>2012006700</t>
  </si>
  <si>
    <t>2012006703</t>
  </si>
  <si>
    <t>2012006704</t>
  </si>
  <si>
    <t>10-5147</t>
  </si>
  <si>
    <t>10-5146</t>
  </si>
  <si>
    <t>2013003629</t>
  </si>
  <si>
    <t>2014006917</t>
  </si>
  <si>
    <t>2014007129</t>
  </si>
  <si>
    <t>OGML_Mayo-Henson</t>
  </si>
  <si>
    <t>OGML_Broussard</t>
  </si>
  <si>
    <t>OGML_Deloach</t>
  </si>
  <si>
    <t>OGML_Old_Hickory_Hill</t>
  </si>
  <si>
    <t>Proposed Unit Designation</t>
  </si>
  <si>
    <t>ProposedDrElmore1_Unit</t>
  </si>
  <si>
    <t xml:space="preserve"> </t>
  </si>
  <si>
    <t>Ratifies lease 06-2553</t>
  </si>
  <si>
    <t>See page 5</t>
  </si>
  <si>
    <t>See page 8</t>
  </si>
  <si>
    <t>See page 4</t>
  </si>
  <si>
    <t>Arcadia Operating, LLC</t>
  </si>
  <si>
    <t>Unexecuted</t>
  </si>
  <si>
    <t>Included for examination</t>
  </si>
  <si>
    <t>276.12 acres, more or less, A-14 &amp; 300 SJC; Exh. B</t>
  </si>
  <si>
    <t>Inst./Eff. Date</t>
  </si>
  <si>
    <t>7.6% x (1/64 - 1/640) - Subsequent documents below</t>
  </si>
  <si>
    <t>1/5 x 24% x (1/64 - 1/640) - Subsequent documents below</t>
  </si>
  <si>
    <t>3.07% x (1/64 - 1/640)  - Subsequent documents below</t>
  </si>
  <si>
    <t>1.02% x (1/64 - 1/640)  - Subsequent documents below</t>
  </si>
  <si>
    <t>Ownership listed below for examination convenience</t>
  </si>
  <si>
    <t>Exhibit A: Mineral and royalty interest in SWD Ref. 06-8814 
Note: 06-8814 Exh A ref. 257/289; 257/289 Exh. A ref. 126/976; 126/976 Exh. B described a 1/64 royalty in 420 ac. M&amp;B</t>
  </si>
  <si>
    <t>16 2/3% to each grantee</t>
  </si>
  <si>
    <t xml:space="preserve">Exhibit A: Roy. Deed 50/510, 1/64 royalty; 420 ac., Vital Flores Survey, A-14  and Thomas Webb Survey, A-300, A- San Jacinto County, TX, </t>
  </si>
  <si>
    <t>Jonathon H. Homes and Elizabeth K. Holmes, as Co-Trustees of the Holmes Family Irrevocable Trust, FBO Elizabeth K. Holmes
Jonathon H. Holmes, as Trustee of the Holmes Family Irrevocable Trust, FBO Jonathon H. Holmes</t>
  </si>
  <si>
    <t>1/2 share to each grantee of all interest acquired in Deed 08-7217</t>
  </si>
  <si>
    <t>All of Grantor's right, title and interest.</t>
  </si>
  <si>
    <t>C.W. Sunday and Allen L. Jogerst, Trustees of the LJM Trust</t>
  </si>
  <si>
    <t>Exhibit A: Mineral and royalty interest in SWD Ref. 06-8814; also ref. 09-6968
Note: 06-8814 Exh A ref. 257/289; 257/289 Exh. A ref. 126/976; 126/976 Exh. B described a 1/64 royalty in 420 ac. M&amp;B</t>
  </si>
  <si>
    <t xml:space="preserve">und. 16 2/3% </t>
  </si>
  <si>
    <t>Exhibit A: Mineral and royalty interest in SWD Ref. 06-8814; also ref. 09-6968 and 2013000065
Note: 06-8814 Exh A ref. 257/289; 257/289 Exh. A ref. 126/976; 126/976 Exh. B described a 1/64 royalty in 420 ac. M&amp;B</t>
  </si>
  <si>
    <t>Ref, 2013000191. Exh. A: Ref 06-8814</t>
  </si>
  <si>
    <t>Correction to a Gift and correcting an ambiguous legal description.</t>
  </si>
  <si>
    <t>Ref, 2013000065. Exh. A: Ref 06-8814</t>
  </si>
  <si>
    <t>All of Assignor's right, title and interest.</t>
  </si>
  <si>
    <t xml:space="preserve">Exhibit A ref.: Vol. 126 Pg. 976
Note: same reference document as above describing a 1/64 royalty in 420 acres. </t>
  </si>
  <si>
    <t>W.T. Moran III and Lois G. Moran, Trustees</t>
  </si>
  <si>
    <t>W T Moran III</t>
  </si>
  <si>
    <t>All of Assignor's right, title and interest in the mineral and royalty interests.</t>
  </si>
  <si>
    <t>William T. Moran III, Individually and as Co-Trustee of the Shamrock Trust 2/28/2013 and MRanch Ltd and Lois G. Moran, as Co-Trustee of the Shamrock Trust 2/28/2013</t>
  </si>
  <si>
    <t>Redhead Royalties, LLC</t>
  </si>
  <si>
    <t>Referenced: in Vol. 126 Pg. 976</t>
  </si>
  <si>
    <t>NPR 1
Decimal Interest per 6/4/2009 DOTO</t>
  </si>
  <si>
    <t>NPR 2
Decimal Interest per 6/4/2009 DOTO</t>
  </si>
  <si>
    <t>330.027 acres, A-300 &amp; 14
Exh. B, Pg. 34: 106.19 ac. - DOTO Tr. #1 - Dr. Elmore Unit Tr. #2
Exh. B, Pg. 42: 42.581 ac. - DOTO Tr. #2 - Dr. Elmore Unit Tr. #6
Exh. B, Pg. 52: 8.44 ac. - DOTO Tr. #4 - Dr. Elmore Unit Tr. #5
Exh. B, Pg. 60: 28.223 ac. - DOTO Tr. #5 - Dr. Elmore Unit Tr. #3</t>
  </si>
  <si>
    <t>330.027 acres, A-300 &amp; 14
Exh. B, Pg. 49: 14.64 ac. - DOTO Tr. #3 - Dr. Elmore Unit Tr. #4
Exh. B, Pg. 71: 20.546 ac. - DOTO Tr. #7 - Dr. Elmore Unit Tr. #7</t>
  </si>
  <si>
    <t>No property specifically identified</t>
  </si>
  <si>
    <t xml:space="preserve">All to Shelley and Rebecca </t>
  </si>
  <si>
    <t>20241988</t>
  </si>
  <si>
    <t>24CPR0065_Probate</t>
  </si>
  <si>
    <t>Probate Order &amp; LWT</t>
  </si>
  <si>
    <t>Estate of Lily Lois Speer by Kevin Lee Speer, Independent Executor</t>
  </si>
  <si>
    <t>All real property</t>
  </si>
  <si>
    <t>States that Tinabeth McCune Keasling and Sara McCune Keisler are the daughters of Vivian. Assumed Intestacy</t>
  </si>
  <si>
    <t>W. Frank Lenoir, Jr. Trust</t>
  </si>
  <si>
    <t>Residuary Estate</t>
  </si>
  <si>
    <t xml:space="preserve">Lucy W. Lenoir Trust </t>
  </si>
  <si>
    <t>Per 6/4/2009 DOTO requirement No. 13</t>
  </si>
  <si>
    <t>Estate of Billie Jo Atkins Trapp, dec'd by Order as Muniment of Title</t>
  </si>
  <si>
    <t>All of my property, real, personal and mixed</t>
  </si>
  <si>
    <t>Devises to Children</t>
  </si>
  <si>
    <t>Children: Benita Trapp Downey and Robert Hill Trapp</t>
  </si>
  <si>
    <t>Heirship Estate Documents</t>
  </si>
  <si>
    <t>Kathleen Hill, Distributee</t>
  </si>
  <si>
    <t>Intestacy Estate of Robert Moore Hill, Jr., By Luanne Hill</t>
  </si>
  <si>
    <t>Heirs: Luanne Hill, wife; Siblings: Kathleen Hill, Bruce Hill and Alison Hill Cochrane</t>
  </si>
  <si>
    <t>All to Children</t>
  </si>
  <si>
    <t>Children: Shelley Hamblen Musgrave &amp; Rebecca Hamblen Drapak</t>
  </si>
  <si>
    <t>10.8 acres, more or less, Thomas Webb Survey, A-300, San Jacinto County, out of 106.239 ac., ref. 20172985; desc. Exh. A, M&amp;B</t>
  </si>
  <si>
    <t>10.9, acres, more or less, Thomas Webb Survey, A-300, San Jacinto County, out of 106.239 ac., ref. 20172985; desc. Exh. A, M&amp;B</t>
  </si>
  <si>
    <t>No mineral reservation. Subject to VL</t>
  </si>
  <si>
    <t>2.0 acres, more or less, Thomas Webb Survey, A-300, San Jacinto County, out of 10.8 ac., ref. 20212816; desc. Exh. A, M&amp;B</t>
  </si>
  <si>
    <t>The surface estates granted by QC Deed unto Elmore Family Partners Limited as recorded in OPR of San Jacinto County, Texas on May 25, 2007/File #20072926</t>
  </si>
  <si>
    <t>All OG&amp;M owned or claimed</t>
  </si>
  <si>
    <t>Children: Kevin Lee Speer, David Wayne Speer and William Edward Speer. Special Bequest to Parker Speer</t>
  </si>
  <si>
    <t>Devised to children, share and share alike. All my mineral interest to be held by Kevin Lee Speer as custodian for Parker Speer.</t>
  </si>
  <si>
    <t>Estate of Thomas Lester Bonds, dec'd by Joyce Marie Dean Bonds, Independent Executrix</t>
  </si>
  <si>
    <t>All to survivor: Joyce Bonds</t>
  </si>
  <si>
    <t>Joyce Bonds, wife under Joint Well</t>
  </si>
  <si>
    <t>Claude Lester Harman, Jr. and Donald Wayne Harman, Trustees under Trust Agreement dated November 13, 1969 executed by Claude Lester Harman, Sr. as Trustor c/o Donald Wayne Harmon</t>
  </si>
  <si>
    <t>No reservation</t>
  </si>
  <si>
    <t>Estate of Michael J. Peck, dec'd by Wanda J. Peck, Independent Executrix</t>
  </si>
  <si>
    <t xml:space="preserve"> Michael J. Peck and Wanda J. Peck Revocable Living Trust, (Trustee not indicated)</t>
  </si>
  <si>
    <t>Assignor / Lessor</t>
  </si>
  <si>
    <t>Assignee / Lessee</t>
  </si>
  <si>
    <t>2.0 acres, more or less, Thomas Webb Survey, A-300, San Jacinto County, out of a called 10.8 ac. ref. 20212816 desc. Exh. A, M&amp;B</t>
  </si>
  <si>
    <t>4.8 acres, more or less, Thomas Webb Survey, A-300, San Jacinto County, out of a called 10.8 ac. ref. 20212816 desc. Exh. A, M&amp;B</t>
  </si>
  <si>
    <t xml:space="preserve">No mineral reservation. </t>
  </si>
  <si>
    <t>2.0 acres, more or less, Thomas Webb Survey, A-300, San Jacinto County, same land., ref. 20216239; desc. Exh. A, M&amp;B</t>
  </si>
  <si>
    <t>2.0 acres, more or less, Thomas Webb Survey, A-300, San Jacinto County, same land., ref. 20216715; desc. Exh. A, M&amp;B</t>
  </si>
  <si>
    <t>Exh. A: 4.8 acres, more or less, Thomas Webb Survey, A-300, San Jacinto County, same land ref. 20219038, desc. M&amp;B</t>
  </si>
  <si>
    <t>2.0 acres, more or less, Thomas Webb Survey, A-300, San Jacinto County, being the residue of 10.8 ac. ref. 20212816 desc. Exh. A, M&amp;B</t>
  </si>
  <si>
    <t>10.1 acres, more or less, Thomas Webb Survey, A-300, San Jacinto County, a portion of the remainder of a called 106.239 ac., ref. 20172985; said 10.1 ac. desc. Exh. A, M&amp;B</t>
  </si>
  <si>
    <t>No mineral reservation. Subject to VLB note secured by VL</t>
  </si>
  <si>
    <t>2.0 acres, more or less, Thomas Webb Survey, A-300, San Jacinto County, being the residue of 10.8 ac. ref. 20212816 said 2.0 ac. desc. Exh. A, M&amp;B</t>
  </si>
  <si>
    <t xml:space="preserve">No mineral reservation. Grantor reserves a life estate </t>
  </si>
  <si>
    <t>10.5 acres, more or less, Thomas Webb Survey, A-300, San Jacinto County, out of 106.239 ac., ref. 20172985; said 10.5 ac. desc. Exh. A, M&amp;B</t>
  </si>
  <si>
    <t>3.5 acres, more or less, Thomas Webb Survey, A-300, San Jacinto County, a portion of property, ref. 20172985, 3.5 ac. desc. Exh. A, M&amp;B</t>
  </si>
  <si>
    <t>10.0 ac., more or less, Vital Flores Survey, A-14, desc. Exh. A, M&amp;B, part of 28.223 ac., Ref. 20052364, OPR, San Jacinto Co.</t>
  </si>
  <si>
    <t>10.0 ac., more or less, Vital Flores Survey, A-14, desc. Exh. A, M&amp;B part of a 28.223 ac. ref. 20052364, OPR, San Jacinto Co.</t>
  </si>
  <si>
    <t>16.7904 ac., more or less, Vital Flores Survey, A-14, desc. Exh. A, M&amp;B part of 28.223 ac. Ref. 20052364, OPR, San Jacinto Co.</t>
  </si>
  <si>
    <t>Exh. A: 5.0 ac.., more or less, Vital Flores Survey, A-14, desc. M&amp;B, part of 28.22 ac. Ref. 20052364, OPR, San Jacinto Co.</t>
  </si>
  <si>
    <t>5.0 ac., more or less, Vital Flores Survey, A-14, desc. M&amp;B &amp; part of a 28.22 Tr. desc. in 20052364, OPR, San Jacinto County</t>
  </si>
  <si>
    <t>5.0 ac., more or less, Vital Flores Survey, A-14, part of  28.22 ac. Ref. in 20052364, OPR, San Jacinto Co. Exh. A  M&amp;B.</t>
  </si>
  <si>
    <t xml:space="preserve">Elmore Family Partners, Ltd., </t>
  </si>
  <si>
    <t>Deed of Trust</t>
  </si>
  <si>
    <t>TORS_Documents\20201300.pdf</t>
  </si>
  <si>
    <t>20201300</t>
  </si>
  <si>
    <t>Capital Farm Credit FLCA, by Ben R. Novasad, Trustee</t>
  </si>
  <si>
    <t>10.0000 ac., more or less, Vital Flores Survey, A-14, desc. Exh. A, M&amp;B &amp; part of a 28.223 Tr. desc. in 20052364, OPR, San Jacinto County</t>
  </si>
  <si>
    <t>Released in: 20207968</t>
  </si>
  <si>
    <t>Release of Lien</t>
  </si>
  <si>
    <t>TORS_Documents\20207968.pdf</t>
  </si>
  <si>
    <t>20207968</t>
  </si>
  <si>
    <t>Capital Farm Credit ACA</t>
  </si>
  <si>
    <t>DT: 20207968</t>
  </si>
  <si>
    <t>TORS_Documents\20216714.pdf</t>
  </si>
  <si>
    <t>20216714</t>
  </si>
  <si>
    <t>Spirit of Texas Bank, SSB</t>
  </si>
  <si>
    <t>5.0000 ac., more or less, Vital Flores Survey, A-14, desc. M&amp;B &amp; part of a 28.22 Tr. desc. in 20052364, OPR, San Jacinto County</t>
  </si>
  <si>
    <t>Released in: 20255422</t>
  </si>
  <si>
    <t>TORS_Documents\20220171.pdf</t>
  </si>
  <si>
    <t>20220171</t>
  </si>
  <si>
    <t>Triad Manufactured Home Financial Services Inc.</t>
  </si>
  <si>
    <t>Assigned to another company in: 20237192</t>
  </si>
  <si>
    <t>Mechanic's Lien Contract</t>
  </si>
  <si>
    <t>TORS_Documents\20220170.pdf</t>
  </si>
  <si>
    <t>20220170</t>
  </si>
  <si>
    <t>No release found.</t>
  </si>
  <si>
    <t>Assignment of Mortgage</t>
  </si>
  <si>
    <t>TORS_Documents\20237192.pdf</t>
  </si>
  <si>
    <t>20237192</t>
  </si>
  <si>
    <t>Triad Manufactured Home Financial Services Inc., for Craig Michael Plaisance, a Married Man &amp; Daniel Bruce Ferguson, A Single Person</t>
  </si>
  <si>
    <t>21st Mortgage Corp., A Delaware Corportation</t>
  </si>
  <si>
    <t>No release found</t>
  </si>
  <si>
    <t>TORS_Documents\20255422.pdf</t>
  </si>
  <si>
    <t>20255422</t>
  </si>
  <si>
    <t>Spirit of Texas Bank, SSB, Simmons Bank, an Arkansas chartered bank, successor by merger to Spirit of Texas Bank SSB, a Texas State Savings bank</t>
  </si>
  <si>
    <t>DT: 20216714</t>
  </si>
  <si>
    <t>20172986</t>
  </si>
  <si>
    <t>Spirit of Texas Bank</t>
  </si>
  <si>
    <t>106.239 acres, more or less, Vital Flores Survey, A-14, San Jacinto County, Texas Bg. a portion of that called 108.3413 acre tract ref. 10-6044 and all of 106.19 acres, ref. 130/488 Bg. desc. by M&amp;B Exh. A</t>
  </si>
  <si>
    <t>Released in: 20195281</t>
  </si>
  <si>
    <t>20193637</t>
  </si>
  <si>
    <t>Veritex Community Bank, Clay Riebe, Trustee</t>
  </si>
  <si>
    <t>Partially released in: 
20212918 - 10.8 acres
20222292 - 10.9 acres
20223281 - 10.5 acres
20230767 - 10.1 acres
20246554 - 3.5 acres
All but 60.433 ac.</t>
  </si>
  <si>
    <t>20195281</t>
  </si>
  <si>
    <t>DT 20172986</t>
  </si>
  <si>
    <t>Lien</t>
  </si>
  <si>
    <t>Insulation and Fireplace Services Inc</t>
  </si>
  <si>
    <t>96.239 acres</t>
  </si>
  <si>
    <t>Released in: 20202502</t>
  </si>
  <si>
    <t>20202502</t>
  </si>
  <si>
    <t>Lien: 20202018</t>
  </si>
  <si>
    <t>20212817</t>
  </si>
  <si>
    <t>Peoples State Bank by Mark Hamilton, Trustee</t>
  </si>
  <si>
    <t>10.8 acres, more or less, Thomas Webb Survey, A-300, San Jacinto County, desc. Exh. A, M&amp;B</t>
  </si>
  <si>
    <t>Released in:
20216238 - 2.0 acres
20216762 - 2.0 acres
20217983 - Remainder</t>
  </si>
  <si>
    <t>Partial Release of Lien</t>
  </si>
  <si>
    <t>20212918</t>
  </si>
  <si>
    <t>Veritex Community Bank</t>
  </si>
  <si>
    <t>DT: 20193637</t>
  </si>
  <si>
    <t>20214840</t>
  </si>
  <si>
    <t>Jerry Allen Broussard and spouse, Kristin Broussard</t>
  </si>
  <si>
    <t>Capital Farm Credit, by Jeffrey C. Norte, Trustee</t>
  </si>
  <si>
    <t>10.9 acres, more or less, Thomas Webb Survey, A-300, San Jacinto County, desc. Exh. A, M&amp;B</t>
  </si>
  <si>
    <t>Released in: 20222552</t>
  </si>
  <si>
    <t>20216241</t>
  </si>
  <si>
    <t>2.0  acres, more or less, Thomas Webb Survey, A-300, San Jacinto County, desc. Exh. A, M&amp;B</t>
  </si>
  <si>
    <t>Released in: 20222782</t>
  </si>
  <si>
    <t>20216238</t>
  </si>
  <si>
    <t>DT: 20212817</t>
  </si>
  <si>
    <t>20216717</t>
  </si>
  <si>
    <t>Released in: 20222781</t>
  </si>
  <si>
    <t>20216762</t>
  </si>
  <si>
    <t>Extension of Real Estate Lien</t>
  </si>
  <si>
    <t>20216955</t>
  </si>
  <si>
    <t>Extension of: 20214840</t>
  </si>
  <si>
    <t>20217983</t>
  </si>
  <si>
    <t>10.8  acres, more or less, Thomas Webb Survey, A-300, San Jacinto County, desc. Exh. A, M&amp;B</t>
  </si>
  <si>
    <t>20219040</t>
  </si>
  <si>
    <t>4.8  acres, more or less, Thomas Webb Survey, A-300, San Jacinto County, desc. Exh. A, M&amp;B</t>
  </si>
  <si>
    <t>Released in: 20226422</t>
  </si>
  <si>
    <t>20222294</t>
  </si>
  <si>
    <t>Citizens State Bank, by Harry J. Brooks Trustee</t>
  </si>
  <si>
    <t>Modified in: 20234541</t>
  </si>
  <si>
    <t>20222293</t>
  </si>
  <si>
    <t>Built Green Custom Homes, Inc, A Texas Corporation, by Harry J. Brooks, Trustee</t>
  </si>
  <si>
    <t>20222292</t>
  </si>
  <si>
    <t>20222552</t>
  </si>
  <si>
    <t>Capital Farm Credit</t>
  </si>
  <si>
    <t>DT: 20214840</t>
  </si>
  <si>
    <t>20222654</t>
  </si>
  <si>
    <t>Rocket Mortgage, LLC</t>
  </si>
  <si>
    <t>20222686</t>
  </si>
  <si>
    <t>Home Financing Unlimited Inc</t>
  </si>
  <si>
    <t>20222782</t>
  </si>
  <si>
    <t>Peoples State Bank</t>
  </si>
  <si>
    <t>DT 20216241</t>
  </si>
  <si>
    <t>20222781</t>
  </si>
  <si>
    <t>DT 20216717</t>
  </si>
  <si>
    <t>20223160</t>
  </si>
  <si>
    <t>Veterans Land Board of the State of Texas</t>
  </si>
  <si>
    <t>10.5 acres, more or less, Thomas Webb Survey, A-300, San Jacinto County, desc. Exh. A, M&amp;B</t>
  </si>
  <si>
    <t>Released in:20242574</t>
  </si>
  <si>
    <t>20223281</t>
  </si>
  <si>
    <t>20226400</t>
  </si>
  <si>
    <t>First United Bank &amp; Trust</t>
  </si>
  <si>
    <t>20226399</t>
  </si>
  <si>
    <t>Lilley Construction DBA Metal Buildings of Texas</t>
  </si>
  <si>
    <t>20226422</t>
  </si>
  <si>
    <t>DT: 20219040</t>
  </si>
  <si>
    <t>20230584</t>
  </si>
  <si>
    <t>10.1 acres, more or less, Thomas Webb Survey, A-300, San Jacinto County, desc. Exh. A, M&amp;B</t>
  </si>
  <si>
    <t>Released in: 20255881</t>
  </si>
  <si>
    <t>20230767</t>
  </si>
  <si>
    <t>20232936</t>
  </si>
  <si>
    <t>Real Genius LLC</t>
  </si>
  <si>
    <t xml:space="preserve">Refinance of 20222294? 
</t>
  </si>
  <si>
    <t>Modification, Renewal, and Extension Agreement</t>
  </si>
  <si>
    <t>20234541</t>
  </si>
  <si>
    <t>No release found. 
20232936 was used for repayment of this?</t>
  </si>
  <si>
    <t>20242574</t>
  </si>
  <si>
    <t>DT: 20223160</t>
  </si>
  <si>
    <t>20246345</t>
  </si>
  <si>
    <t>Bradbury Family Investments, LLC, Boatner &amp; Hamad, P.C.</t>
  </si>
  <si>
    <t>3.5 acres, more or less, Thomas Webb Survey, A-300, San Jacinto County, desc. Exh. A, M&amp;B</t>
  </si>
  <si>
    <t>20246554</t>
  </si>
  <si>
    <t>Assignment of Leases and Rent</t>
  </si>
  <si>
    <t>20253157</t>
  </si>
  <si>
    <t>Schumer-Yarbrough Development, LLC</t>
  </si>
  <si>
    <t>60.433 acres Vital Flores Survey, A-14, San Jacinto County, desc. Exh. A, M&amp;B</t>
  </si>
  <si>
    <t>20253156</t>
  </si>
  <si>
    <t>Schumer-Yarbrough Development, LLC
Lyons &amp; Plackemeier, PLLC, Trustee</t>
  </si>
  <si>
    <t>20255881</t>
  </si>
  <si>
    <t>DT 20193637</t>
  </si>
  <si>
    <t>Release of Mechanics Lien</t>
  </si>
  <si>
    <t>37/168  MI, burdened by a 1/64 NPRI (NPR 1)</t>
  </si>
  <si>
    <t>1/2 burdened by a 1/16 NPRI (NPR 2)</t>
  </si>
  <si>
    <t>1/2</t>
  </si>
  <si>
    <t>3/4 MI, burdened by a 1/16 NPRI (NPR 2)</t>
  </si>
  <si>
    <t>SJC Record search revealed no subsequent documents</t>
  </si>
  <si>
    <t>OGML_McRorie</t>
  </si>
  <si>
    <t>Daniel McRorie</t>
  </si>
  <si>
    <t xml:space="preserve">10.5 ac., more or less, A-300, San Jacinto Co., Texas
</t>
  </si>
  <si>
    <t>OGML_Edwards</t>
  </si>
  <si>
    <t>James Brian Edwards and Wlanda Jennene Edwards</t>
  </si>
  <si>
    <t xml:space="preserve">4.8 ac., more or less, A-300, San Jacinto Co., Texas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</si>
</sst>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???/???"/>
    <numFmt numFmtId="165" formatCode="0.00000000"/>
    <numFmt numFmtId="166" formatCode="0.000000000"/>
    <numFmt numFmtId="167" formatCode="0.0000"/>
    <numFmt numFmtId="168" formatCode="0.000000"/>
    <numFmt numFmtId="169" formatCode="0.00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3"/>
      <name val="Calibri"/>
      <family val="2"/>
    </font>
    <font>
      <sz val="11"/>
      <color theme="1"/>
      <name val="Calibri"/>
      <family val="2"/>
    </font>
    <font>
      <sz val="11"/>
      <color theme="10"/>
      <name val="Calibri"/>
      <family val="2"/>
    </font>
    <font>
      <b/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1" applyNumberForma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top" wrapText="1"/>
    </xf>
    <xf numFmtId="0" fontId="7" fillId="0" borderId="2" xfId="2" applyNumberFormat="1" applyFont="1" applyFill="1" applyBorder="1" applyAlignment="1">
      <alignment horizontal="center" vertical="top" wrapText="1"/>
    </xf>
    <xf numFmtId="49" fontId="8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right" vertical="top" wrapText="1"/>
    </xf>
    <xf numFmtId="1" fontId="9" fillId="0" borderId="1" xfId="1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top" wrapText="1"/>
    </xf>
    <xf numFmtId="0" fontId="10" fillId="0" borderId="2" xfId="1" applyNumberFormat="1" applyFont="1" applyFill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 vertical="top"/>
    </xf>
    <xf numFmtId="14" fontId="8" fillId="0" borderId="1" xfId="0" applyNumberFormat="1" applyFont="1" applyBorder="1" applyAlignment="1">
      <alignment horizontal="right" vertical="top"/>
    </xf>
    <xf numFmtId="0" fontId="8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8" fillId="0" borderId="5" xfId="0" applyFont="1" applyBorder="1" applyAlignment="1">
      <alignment horizontal="left" vertical="top" wrapText="1"/>
    </xf>
    <xf numFmtId="0" fontId="6" fillId="0" borderId="7" xfId="1" applyNumberFormat="1" applyFont="1" applyFill="1" applyBorder="1" applyAlignment="1">
      <alignment horizontal="center" vertical="top" wrapText="1"/>
    </xf>
    <xf numFmtId="49" fontId="8" fillId="0" borderId="3" xfId="0" applyNumberFormat="1" applyFont="1" applyBorder="1" applyAlignment="1">
      <alignment vertical="top" wrapText="1"/>
    </xf>
    <xf numFmtId="0" fontId="8" fillId="0" borderId="3" xfId="0" applyFont="1" applyBorder="1" applyAlignment="1">
      <alignment horizontal="center" vertical="top" wrapText="1"/>
    </xf>
    <xf numFmtId="0" fontId="11" fillId="0" borderId="8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165" fontId="11" fillId="0" borderId="1" xfId="0" applyNumberFormat="1" applyFont="1" applyBorder="1" applyAlignment="1">
      <alignment horizontal="left" vertical="top" wrapText="1"/>
    </xf>
    <xf numFmtId="165" fontId="11" fillId="2" borderId="1" xfId="0" applyNumberFormat="1" applyFont="1" applyFill="1" applyBorder="1" applyAlignment="1">
      <alignment horizontal="left" vertical="top" wrapText="1"/>
    </xf>
    <xf numFmtId="0" fontId="11" fillId="0" borderId="3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0" fontId="8" fillId="0" borderId="1" xfId="0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165" fontId="11" fillId="0" borderId="8" xfId="0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vertical="top" wrapText="1"/>
    </xf>
    <xf numFmtId="16" fontId="8" fillId="0" borderId="1" xfId="0" applyNumberFormat="1" applyFont="1" applyBorder="1" applyAlignment="1">
      <alignment vertical="top"/>
    </xf>
    <xf numFmtId="49" fontId="11" fillId="0" borderId="1" xfId="0" applyNumberFormat="1" applyFont="1" applyBorder="1" applyAlignment="1">
      <alignment vertical="top" wrapText="1"/>
    </xf>
    <xf numFmtId="165" fontId="11" fillId="0" borderId="3" xfId="0" applyNumberFormat="1" applyFont="1" applyBorder="1" applyAlignment="1">
      <alignment horizontal="left" vertical="top" wrapText="1"/>
    </xf>
    <xf numFmtId="165" fontId="8" fillId="0" borderId="1" xfId="0" applyNumberFormat="1" applyFont="1" applyBorder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164" fontId="8" fillId="0" borderId="1" xfId="0" applyNumberFormat="1" applyFont="1" applyBorder="1" applyAlignment="1">
      <alignment vertical="top" wrapText="1"/>
    </xf>
    <xf numFmtId="165" fontId="11" fillId="0" borderId="1" xfId="0" applyNumberFormat="1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12" fontId="8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right" vertical="top" wrapText="1"/>
    </xf>
    <xf numFmtId="164" fontId="8" fillId="0" borderId="3" xfId="0" applyNumberFormat="1" applyFont="1" applyBorder="1" applyAlignment="1">
      <alignment vertical="top" wrapText="1"/>
    </xf>
    <xf numFmtId="164" fontId="8" fillId="0" borderId="1" xfId="0" applyNumberFormat="1" applyFont="1" applyBorder="1" applyAlignment="1">
      <alignment wrapText="1"/>
    </xf>
    <xf numFmtId="165" fontId="8" fillId="0" borderId="1" xfId="0" applyNumberFormat="1" applyFont="1" applyBorder="1" applyAlignment="1">
      <alignment wrapText="1"/>
    </xf>
    <xf numFmtId="167" fontId="11" fillId="0" borderId="8" xfId="0" applyNumberFormat="1" applyFont="1" applyBorder="1" applyAlignment="1">
      <alignment horizontal="left" wrapText="1"/>
    </xf>
    <xf numFmtId="167" fontId="8" fillId="0" borderId="1" xfId="0" applyNumberFormat="1" applyFont="1" applyBorder="1" applyAlignment="1">
      <alignment horizontal="left" vertical="top" wrapText="1"/>
    </xf>
    <xf numFmtId="0" fontId="10" fillId="0" borderId="10" xfId="1" applyNumberFormat="1" applyFont="1" applyFill="1" applyBorder="1" applyAlignment="1">
      <alignment horizontal="center" vertical="top" wrapText="1"/>
    </xf>
    <xf numFmtId="49" fontId="8" fillId="0" borderId="8" xfId="0" applyNumberFormat="1" applyFont="1" applyBorder="1" applyAlignment="1">
      <alignment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49" fontId="8" fillId="0" borderId="8" xfId="0" applyNumberFormat="1" applyFont="1" applyBorder="1" applyAlignment="1">
      <alignment horizontal="center" vertical="top" wrapText="1"/>
    </xf>
    <xf numFmtId="14" fontId="8" fillId="0" borderId="8" xfId="0" applyNumberFormat="1" applyFont="1" applyBorder="1" applyAlignment="1">
      <alignment horizontal="right" vertical="top" wrapText="1"/>
    </xf>
    <xf numFmtId="0" fontId="8" fillId="0" borderId="11" xfId="0" applyFont="1" applyBorder="1" applyAlignment="1">
      <alignment wrapText="1"/>
    </xf>
    <xf numFmtId="49" fontId="8" fillId="0" borderId="13" xfId="0" applyNumberFormat="1" applyFont="1" applyBorder="1" applyAlignment="1">
      <alignment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vertical="top" wrapText="1"/>
    </xf>
    <xf numFmtId="0" fontId="5" fillId="0" borderId="13" xfId="0" applyFont="1" applyBorder="1" applyAlignment="1">
      <alignment horizontal="center" vertical="top" wrapText="1"/>
    </xf>
    <xf numFmtId="49" fontId="8" fillId="0" borderId="13" xfId="0" applyNumberFormat="1" applyFont="1" applyBorder="1" applyAlignment="1">
      <alignment horizontal="center" vertical="top" wrapText="1"/>
    </xf>
    <xf numFmtId="14" fontId="8" fillId="0" borderId="13" xfId="0" applyNumberFormat="1" applyFont="1" applyBorder="1" applyAlignment="1">
      <alignment horizontal="right" vertical="top" wrapText="1"/>
    </xf>
    <xf numFmtId="49" fontId="14" fillId="0" borderId="1" xfId="0" applyNumberFormat="1" applyFont="1" applyBorder="1" applyAlignment="1">
      <alignment horizontal="right" wrapText="1"/>
    </xf>
    <xf numFmtId="49" fontId="13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2" fillId="0" borderId="2" xfId="1" applyNumberFormat="1" applyFill="1" applyBorder="1" applyAlignment="1">
      <alignment horizontal="center" vertical="center" wrapText="1"/>
    </xf>
    <xf numFmtId="0" fontId="2" fillId="0" borderId="7" xfId="1" applyNumberFormat="1" applyFill="1" applyBorder="1" applyAlignment="1">
      <alignment horizontal="center" vertical="center" wrapText="1"/>
    </xf>
    <xf numFmtId="0" fontId="6" fillId="0" borderId="10" xfId="1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left" vertical="top" wrapText="1"/>
    </xf>
    <xf numFmtId="0" fontId="8" fillId="0" borderId="8" xfId="0" applyFont="1" applyBorder="1" applyAlignment="1">
      <alignment vertical="top" wrapText="1"/>
    </xf>
    <xf numFmtId="0" fontId="8" fillId="0" borderId="8" xfId="0" applyFont="1" applyBorder="1" applyAlignment="1">
      <alignment horizontal="left" vertical="top" wrapText="1"/>
    </xf>
    <xf numFmtId="14" fontId="8" fillId="0" borderId="8" xfId="0" applyNumberFormat="1" applyFont="1" applyBorder="1" applyAlignment="1">
      <alignment horizontal="left" vertical="top" wrapText="1"/>
    </xf>
    <xf numFmtId="0" fontId="8" fillId="3" borderId="1" xfId="0" applyFont="1" applyFill="1" applyBorder="1"/>
    <xf numFmtId="0" fontId="6" fillId="0" borderId="10" xfId="1" applyNumberFormat="1" applyFont="1" applyFill="1" applyBorder="1" applyAlignment="1">
      <alignment horizontal="center" vertical="top" wrapText="1"/>
    </xf>
    <xf numFmtId="1" fontId="9" fillId="0" borderId="8" xfId="1" applyNumberFormat="1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2" fillId="0" borderId="10" xfId="1" applyNumberFormat="1" applyFill="1" applyBorder="1" applyAlignment="1">
      <alignment horizontal="center" vertical="top" wrapText="1"/>
    </xf>
    <xf numFmtId="0" fontId="17" fillId="3" borderId="12" xfId="1" applyNumberFormat="1" applyFont="1" applyFill="1" applyBorder="1" applyAlignment="1">
      <alignment horizontal="center" vertical="top" wrapText="1"/>
    </xf>
    <xf numFmtId="49" fontId="15" fillId="3" borderId="13" xfId="0" applyNumberFormat="1" applyFont="1" applyFill="1" applyBorder="1" applyAlignment="1">
      <alignment vertical="top" wrapText="1"/>
    </xf>
    <xf numFmtId="1" fontId="15" fillId="3" borderId="13" xfId="1" applyNumberFormat="1" applyFont="1" applyFill="1" applyBorder="1" applyAlignment="1">
      <alignment horizontal="center" vertical="top" wrapText="1"/>
    </xf>
    <xf numFmtId="0" fontId="15" fillId="3" borderId="13" xfId="0" applyFont="1" applyFill="1" applyBorder="1" applyAlignment="1">
      <alignment vertical="top" wrapText="1"/>
    </xf>
    <xf numFmtId="0" fontId="15" fillId="3" borderId="13" xfId="0" applyFont="1" applyFill="1" applyBorder="1" applyAlignment="1">
      <alignment horizontal="center" vertical="top" wrapText="1"/>
    </xf>
    <xf numFmtId="49" fontId="15" fillId="3" borderId="13" xfId="0" applyNumberFormat="1" applyFont="1" applyFill="1" applyBorder="1" applyAlignment="1">
      <alignment horizontal="center" vertical="top" wrapText="1"/>
    </xf>
    <xf numFmtId="165" fontId="11" fillId="0" borderId="1" xfId="0" applyNumberFormat="1" applyFont="1" applyBorder="1" applyAlignment="1">
      <alignment horizontal="center" vertical="center" wrapText="1"/>
    </xf>
    <xf numFmtId="168" fontId="16" fillId="3" borderId="1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49" fontId="15" fillId="3" borderId="1" xfId="0" applyNumberFormat="1" applyFont="1" applyFill="1" applyBorder="1" applyAlignment="1">
      <alignment vertical="top" wrapText="1"/>
    </xf>
    <xf numFmtId="1" fontId="15" fillId="3" borderId="1" xfId="1" applyNumberFormat="1" applyFont="1" applyFill="1" applyBorder="1" applyAlignment="1">
      <alignment horizontal="center" vertical="top" wrapText="1"/>
    </xf>
    <xf numFmtId="0" fontId="15" fillId="3" borderId="8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top" wrapText="1"/>
    </xf>
    <xf numFmtId="49" fontId="15" fillId="3" borderId="1" xfId="0" applyNumberFormat="1" applyFont="1" applyFill="1" applyBorder="1" applyAlignment="1">
      <alignment horizontal="center" vertical="top" wrapText="1"/>
    </xf>
    <xf numFmtId="14" fontId="15" fillId="3" borderId="1" xfId="0" applyNumberFormat="1" applyFont="1" applyFill="1" applyBorder="1" applyAlignment="1">
      <alignment horizontal="right" vertical="top" wrapText="1"/>
    </xf>
    <xf numFmtId="167" fontId="16" fillId="3" borderId="1" xfId="0" applyNumberFormat="1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49" fontId="8" fillId="0" borderId="13" xfId="1" applyNumberFormat="1" applyFont="1" applyFill="1" applyBorder="1" applyAlignment="1">
      <alignment horizontal="center" vertical="top" wrapText="1"/>
    </xf>
    <xf numFmtId="0" fontId="11" fillId="0" borderId="2" xfId="0" applyFont="1" applyBorder="1" applyAlignment="1">
      <alignment wrapText="1"/>
    </xf>
    <xf numFmtId="0" fontId="2" fillId="0" borderId="14" xfId="1" applyNumberFormat="1" applyFill="1" applyBorder="1" applyAlignment="1">
      <alignment horizontal="center" vertical="top" wrapText="1"/>
    </xf>
    <xf numFmtId="49" fontId="8" fillId="0" borderId="9" xfId="0" applyNumberFormat="1" applyFont="1" applyBorder="1" applyAlignment="1">
      <alignment vertical="top" wrapText="1"/>
    </xf>
    <xf numFmtId="1" fontId="9" fillId="0" borderId="9" xfId="1" applyNumberFormat="1" applyFont="1" applyFill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 vertical="top" wrapText="1"/>
    </xf>
    <xf numFmtId="14" fontId="8" fillId="0" borderId="9" xfId="0" applyNumberFormat="1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left" vertical="top" wrapText="1"/>
    </xf>
    <xf numFmtId="165" fontId="11" fillId="0" borderId="9" xfId="0" applyNumberFormat="1" applyFont="1" applyBorder="1" applyAlignment="1">
      <alignment horizontal="left" vertical="top" wrapText="1"/>
    </xf>
    <xf numFmtId="0" fontId="2" fillId="0" borderId="1" xfId="1" applyNumberFormat="1" applyFill="1" applyBorder="1" applyAlignment="1">
      <alignment horizontal="center" vertical="top" wrapText="1"/>
    </xf>
    <xf numFmtId="14" fontId="8" fillId="0" borderId="8" xfId="0" applyNumberFormat="1" applyFont="1" applyBorder="1" applyAlignment="1">
      <alignment horizontal="center" vertical="top" wrapText="1"/>
    </xf>
    <xf numFmtId="169" fontId="16" fillId="0" borderId="13" xfId="0" applyNumberFormat="1" applyFont="1" applyBorder="1" applyAlignment="1">
      <alignment horizontal="center" wrapText="1"/>
    </xf>
    <xf numFmtId="167" fontId="16" fillId="0" borderId="13" xfId="0" applyNumberFormat="1" applyFont="1" applyBorder="1" applyAlignment="1">
      <alignment horizontal="left" wrapText="1"/>
    </xf>
    <xf numFmtId="165" fontId="11" fillId="0" borderId="8" xfId="0" applyNumberFormat="1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165" fontId="8" fillId="0" borderId="1" xfId="0" applyNumberFormat="1" applyFont="1" applyBorder="1"/>
    <xf numFmtId="49" fontId="8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left"/>
    </xf>
    <xf numFmtId="0" fontId="11" fillId="2" borderId="1" xfId="0" applyFont="1" applyFill="1" applyBorder="1" applyAlignment="1">
      <alignment wrapText="1"/>
    </xf>
    <xf numFmtId="169" fontId="16" fillId="0" borderId="13" xfId="0" applyNumberFormat="1" applyFont="1" applyBorder="1" applyAlignment="1">
      <alignment horizontal="left" vertical="top" wrapText="1"/>
    </xf>
    <xf numFmtId="0" fontId="17" fillId="0" borderId="12" xfId="1" applyNumberFormat="1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left" wrapText="1"/>
    </xf>
    <xf numFmtId="165" fontId="8" fillId="0" borderId="0" xfId="0" applyNumberFormat="1" applyFont="1" applyAlignment="1">
      <alignment horizontal="left" vertical="top" wrapText="1"/>
    </xf>
    <xf numFmtId="166" fontId="8" fillId="0" borderId="1" xfId="0" applyNumberFormat="1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8" fillId="0" borderId="8" xfId="0" applyFont="1" applyBorder="1" applyAlignment="1">
      <alignment vertical="top"/>
    </xf>
    <xf numFmtId="165" fontId="11" fillId="0" borderId="8" xfId="0" applyNumberFormat="1" applyFont="1" applyBorder="1" applyAlignment="1">
      <alignment vertical="top" wrapText="1"/>
    </xf>
    <xf numFmtId="164" fontId="5" fillId="0" borderId="16" xfId="0" applyNumberFormat="1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right" vertical="top"/>
    </xf>
    <xf numFmtId="14" fontId="8" fillId="0" borderId="8" xfId="0" applyNumberFormat="1" applyFont="1" applyBorder="1" applyAlignment="1">
      <alignment horizontal="right" vertical="top"/>
    </xf>
    <xf numFmtId="165" fontId="8" fillId="0" borderId="8" xfId="0" applyNumberFormat="1" applyFont="1" applyBorder="1"/>
    <xf numFmtId="0" fontId="16" fillId="0" borderId="12" xfId="0" applyFont="1" applyBorder="1" applyAlignment="1">
      <alignment horizontal="left"/>
    </xf>
    <xf numFmtId="49" fontId="15" fillId="0" borderId="13" xfId="0" applyNumberFormat="1" applyFont="1" applyBorder="1" applyAlignment="1">
      <alignment vertical="top" wrapText="1"/>
    </xf>
    <xf numFmtId="49" fontId="15" fillId="0" borderId="13" xfId="0" applyNumberFormat="1" applyFont="1" applyBorder="1" applyAlignment="1">
      <alignment horizontal="center" vertical="top" wrapText="1"/>
    </xf>
    <xf numFmtId="0" fontId="15" fillId="0" borderId="13" xfId="0" applyFont="1" applyBorder="1" applyAlignment="1">
      <alignment vertical="top" wrapText="1"/>
    </xf>
    <xf numFmtId="0" fontId="15" fillId="0" borderId="13" xfId="0" applyFont="1" applyBorder="1" applyAlignment="1">
      <alignment horizontal="center" vertical="top" wrapText="1"/>
    </xf>
    <xf numFmtId="14" fontId="15" fillId="0" borderId="13" xfId="0" applyNumberFormat="1" applyFont="1" applyBorder="1" applyAlignment="1">
      <alignment horizontal="right" vertical="top" wrapText="1"/>
    </xf>
    <xf numFmtId="165" fontId="16" fillId="0" borderId="13" xfId="0" applyNumberFormat="1" applyFont="1" applyBorder="1" applyAlignment="1">
      <alignment horizontal="left" vertical="top" wrapText="1"/>
    </xf>
    <xf numFmtId="14" fontId="8" fillId="0" borderId="13" xfId="0" applyNumberFormat="1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top" wrapText="1"/>
    </xf>
    <xf numFmtId="14" fontId="13" fillId="0" borderId="1" xfId="0" applyNumberFormat="1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15" fillId="3" borderId="13" xfId="0" applyNumberFormat="1" applyFont="1" applyFill="1" applyBorder="1" applyAlignment="1">
      <alignment horizontal="center" vertical="top" wrapText="1"/>
    </xf>
    <xf numFmtId="14" fontId="8" fillId="0" borderId="3" xfId="0" applyNumberFormat="1" applyFont="1" applyBorder="1" applyAlignment="1">
      <alignment horizontal="center" vertical="top" wrapText="1"/>
    </xf>
    <xf numFmtId="49" fontId="8" fillId="0" borderId="8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top" wrapText="1"/>
    </xf>
    <xf numFmtId="49" fontId="8" fillId="0" borderId="1" xfId="0" applyNumberFormat="1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</cellXfs>
  <cellStyles count="3">
    <cellStyle name="Heading 4" xfId="2" builtinId="19"/>
    <cellStyle name="Hyperlink" xfId="1" builtinId="8"/>
    <cellStyle name="Normal" xfId="0" builtinId="0"/>
  </cellStyles>
  <dxfs count="1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0000000"/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0000000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0000000"/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\ ???/???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0.00000000"/>
      <fill>
        <patternFill patternType="none">
          <fgColor rgb="FF000000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sz val="1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54B440C-8DC1-4A49-9F45-D6F127BBE41A}" name="Table14535410" displayName="Table14535410" ref="A1:M45" totalsRowShown="0" headerRowDxfId="151" dataDxfId="149" headerRowBorderDxfId="150">
  <autoFilter ref="A1:M45" xr:uid="{00000000-0009-0000-0100-000001000000}"/>
  <sortState xmlns:xlrd2="http://schemas.microsoft.com/office/spreadsheetml/2017/richdata2" ref="A2:M45">
    <sortCondition ref="I1:I45"/>
  </sortState>
  <tableColumns count="13">
    <tableColumn id="12" xr3:uid="{154F8AB0-6B17-8745-905E-655EB58E0F0F}" name="Documents Hyperlinked to TORS_Documents Folder" dataDxfId="148">
      <calculatedColumnFormula>HYPERLINK(Table14535410[[#This Row],[Image Path]],Table14535410[[#This Row],[Order by Date]])</calculatedColumnFormula>
    </tableColumn>
    <tableColumn id="1" xr3:uid="{FB16D7C2-EE2B-9245-BC50-B439463F010D}" name="Instrument" dataDxfId="147"/>
    <tableColumn id="17" xr3:uid="{59287975-A991-AB4D-AA39-0465A7BE9FB8}" name="Order by Date" dataDxfId="146"/>
    <tableColumn id="15" xr3:uid="{65E4B1F7-3B24-A44A-83F1-5DEE5623120F}" name="Image Path" dataDxfId="145">
      <calculatedColumnFormula>CONCATENATE("TORS_Documents\",Table1453543[[#This Row],[Instrument No.
San Jacinto]],".pdf")</calculatedColumnFormula>
    </tableColumn>
    <tableColumn id="2" xr3:uid="{A27749D6-ECD6-ED44-854D-C6AE03B187A3}" name="Vol" dataDxfId="144"/>
    <tableColumn id="3" xr3:uid="{128B8932-4F6D-8646-A70C-BA332E93F539}" name="Page" dataDxfId="143"/>
    <tableColumn id="4" xr3:uid="{E49AC84A-6467-9E4D-9F79-E151FC0FA275}" name="Instrument No._x000a_San Jacinto" dataDxfId="142"/>
    <tableColumn id="6" xr3:uid="{726B6623-A636-EB43-B2FF-82BE29B3FC95}" name="File Date" dataDxfId="141"/>
    <tableColumn id="7" xr3:uid="{BF4AF0DF-6B84-CE4B-8821-94313065E7E9}" name="Inst./Eff. Date" dataDxfId="140"/>
    <tableColumn id="8" xr3:uid="{3BBDE8E5-B9DF-9240-B48D-DCA31A437976}" name="Assignor / Lessor" dataDxfId="139"/>
    <tableColumn id="9" xr3:uid="{145DD415-AF0B-0248-A2B8-85EE41FA2897}" name="Assignee / Lessee" dataDxfId="138"/>
    <tableColumn id="10" xr3:uid="{B1020870-F964-E345-8348-7548B3CEFB66}" name="Land Desc." dataDxfId="137"/>
    <tableColumn id="11" xr3:uid="{47128FC4-D774-8F42-A2FD-91B789C07A8A}" name="Remarks" dataDxfId="13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E24D38B-02FA-D041-9715-91DC0F616939}" name="Table1453541013" displayName="Table1453541013" ref="A1:N41" totalsRowShown="0" headerRowDxfId="135" dataDxfId="133" headerRowBorderDxfId="134">
  <autoFilter ref="A1:N41" xr:uid="{00000000-0009-0000-0100-000001000000}"/>
  <sortState xmlns:xlrd2="http://schemas.microsoft.com/office/spreadsheetml/2017/richdata2" ref="A2:M25">
    <sortCondition ref="I1:I25"/>
  </sortState>
  <tableColumns count="14">
    <tableColumn id="12" xr3:uid="{EC9E4643-689D-7E45-9C6F-4A9134576DAF}" name="Documents Hyperlinked to TORS_Documents Folder" dataDxfId="132">
      <calculatedColumnFormula>HYPERLINK(Table1453541013[[#This Row],[Image Path]],Table1453541013[[#This Row],[Order by Date]])</calculatedColumnFormula>
    </tableColumn>
    <tableColumn id="1" xr3:uid="{B55CA478-8A17-124C-91FF-7DAA07951CB8}" name="Instrument" dataDxfId="131"/>
    <tableColumn id="17" xr3:uid="{50BFF1B6-046C-144D-AF0C-E7F04B59608A}" name="Order by Date" dataDxfId="130"/>
    <tableColumn id="15" xr3:uid="{45AFF4B8-2C41-D849-A33E-7529EB7ECA78}" name="Image Path" dataDxfId="129">
      <calculatedColumnFormula>CONCATENATE("TORS_Documents\",Table1453541013[[#This Row],[Instrument No.
San Jacinto]],".pdf")</calculatedColumnFormula>
    </tableColumn>
    <tableColumn id="2" xr3:uid="{AFD2A004-B878-2442-85BC-28B8D01E1826}" name="Vol" dataDxfId="128"/>
    <tableColumn id="3" xr3:uid="{181776B5-E651-634C-8B1E-C55EB9CA39F2}" name="Page" dataDxfId="127"/>
    <tableColumn id="4" xr3:uid="{83FF9DBC-A8B1-7246-B0C2-BC0B063068A9}" name="Instrument No._x000a_San Jacinto" dataDxfId="126"/>
    <tableColumn id="6" xr3:uid="{09FB741B-6729-214C-ACE9-E1FFADBEBBA7}" name="File Date" dataDxfId="125"/>
    <tableColumn id="7" xr3:uid="{94B18DF1-CD70-BC49-BA19-85CC4D974205}" name="Inst. Date" dataDxfId="124"/>
    <tableColumn id="8" xr3:uid="{C941BC2C-C4F4-6146-8F22-2B7F78E32CB8}" name="Grantor" dataDxfId="123"/>
    <tableColumn id="9" xr3:uid="{2AEB4997-EBB3-8845-BD99-F9734C69CD8E}" name="Grantee" dataDxfId="122"/>
    <tableColumn id="10" xr3:uid="{5437B290-FA9A-DF4E-B0C7-48FF238D8921}" name="Land Desc." dataDxfId="121"/>
    <tableColumn id="11" xr3:uid="{2BA7BD7A-F5D0-864B-A22F-49412401B3DA}" name="Remarks" dataDxfId="120"/>
    <tableColumn id="5" xr3:uid="{37F08533-393D-4144-B00B-3B58CE8D4BF3}" name="NPR 1_x000a_Decimal Interest per 6/4/2009 DOTO" dataDxfId="1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7AB9C5-FE91-2C42-97F0-20450D807DB5}" name="Table1453541014" displayName="Table1453541014" ref="A1:N17" totalsRowShown="0" headerRowDxfId="118" dataDxfId="116" headerRowBorderDxfId="117">
  <autoFilter ref="A1:N17" xr:uid="{00000000-0009-0000-0100-000001000000}"/>
  <sortState xmlns:xlrd2="http://schemas.microsoft.com/office/spreadsheetml/2017/richdata2" ref="A2:N17">
    <sortCondition ref="I1:I17"/>
  </sortState>
  <tableColumns count="14">
    <tableColumn id="12" xr3:uid="{65FB640C-6828-A848-A06B-2E670029AB69}" name="Documents Hyperlinked to TORS_Documents Folder" dataDxfId="115">
      <calculatedColumnFormula>HYPERLINK(Table1453541014[[#This Row],[Image Path]],Table1453541014[[#This Row],[Order by Date]])</calculatedColumnFormula>
    </tableColumn>
    <tableColumn id="1" xr3:uid="{A9222714-8392-F04F-B48F-17747BC3DFAB}" name="Instrument" dataDxfId="114"/>
    <tableColumn id="17" xr3:uid="{F905D598-440E-1842-923A-125CD7585343}" name="Order by Date" dataDxfId="113"/>
    <tableColumn id="15" xr3:uid="{20E485DD-DA57-E84E-A61B-EB0BC9E7D4CD}" name="Image Path" dataDxfId="112">
      <calculatedColumnFormula>CONCATENATE("TORS_Documents\",Table1453541014[[#This Row],[Instrument No.
San Jacinto]],".pdf")</calculatedColumnFormula>
    </tableColumn>
    <tableColumn id="2" xr3:uid="{8ADB0290-D78A-BC4A-8C46-54C79ED8745E}" name="Vol" dataDxfId="111"/>
    <tableColumn id="3" xr3:uid="{9027BBB4-3D6E-2047-B2DC-DD9609A9CB4E}" name="Page" dataDxfId="110"/>
    <tableColumn id="4" xr3:uid="{34299712-3DB3-1543-BEA0-27CED9A16910}" name="Instrument No._x000a_San Jacinto" dataDxfId="109"/>
    <tableColumn id="6" xr3:uid="{DC61DCAB-80AA-E446-AAE6-1B9C3804AEC5}" name="File Date" dataDxfId="108"/>
    <tableColumn id="7" xr3:uid="{EE485400-80E1-D146-920F-1B085652268E}" name="Inst. Date" dataDxfId="107"/>
    <tableColumn id="8" xr3:uid="{E18092F2-D85D-A347-B2CD-4BDBFDFBADCF}" name="Grantor" dataDxfId="106"/>
    <tableColumn id="9" xr3:uid="{459B8927-2ECA-1046-A2F9-1728F2CE8DAA}" name="Grantee" dataDxfId="105"/>
    <tableColumn id="10" xr3:uid="{C10D1624-A1BB-0643-84CA-4048053FDF42}" name="Land Desc." dataDxfId="104"/>
    <tableColumn id="11" xr3:uid="{B353C0AA-AB5B-5349-A72E-3BC082F42B9E}" name="Remarks" dataDxfId="103"/>
    <tableColumn id="5" xr3:uid="{77249365-B2FE-F54A-9AD4-F076EAA8B0CB}" name="NPR 2_x000a_Decimal Interest per 6/4/2009 DOTO" dataDxfId="10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A8D2B-463E-45F1-AF99-CF95CC23C837}" name="Table145354" displayName="Table145354" ref="A1:N10" totalsRowShown="0" headerRowDxfId="101" dataDxfId="99" headerRowBorderDxfId="100">
  <autoFilter ref="A1:N10" xr:uid="{00000000-0009-0000-0100-000001000000}"/>
  <sortState xmlns:xlrd2="http://schemas.microsoft.com/office/spreadsheetml/2017/richdata2" ref="A2:M10">
    <sortCondition ref="I1:I10"/>
  </sortState>
  <tableColumns count="14">
    <tableColumn id="12" xr3:uid="{D3FB64CE-CFFE-42BC-B826-791C6CB39B51}" name="Documents Hyperlinked to TORS_Documents Folder" dataDxfId="98">
      <calculatedColumnFormula>HYPERLINK(Table145354[[#This Row],[Image Path]],Table145354[[#This Row],[Order by Date]])</calculatedColumnFormula>
    </tableColumn>
    <tableColumn id="1" xr3:uid="{6EC3DA41-C148-43C6-AB9A-DBB152C2DE6F}" name="Instrument" dataDxfId="97"/>
    <tableColumn id="17" xr3:uid="{44C9D01D-D04F-4519-82C1-69A8326D272D}" name="Order by Date" dataDxfId="96"/>
    <tableColumn id="15" xr3:uid="{AE5EA5E6-6EF9-46F5-A42E-160022E141C5}" name="Image Path" dataDxfId="95">
      <calculatedColumnFormula>CONCATENATE("TORS_Documents\",Table145354[[#This Row],[Instrument No.
San Jacinto]],".pdf")</calculatedColumnFormula>
    </tableColumn>
    <tableColumn id="2" xr3:uid="{0A71A179-7F75-45A8-85BA-E75717292997}" name="Vol" dataDxfId="94"/>
    <tableColumn id="3" xr3:uid="{9C8ACFAC-7AA8-466D-BC76-C2C55AB265DF}" name="Page" dataDxfId="93"/>
    <tableColumn id="4" xr3:uid="{978C31B6-CA23-44F9-90A0-7665436589F0}" name="Instrument No._x000a_San Jacinto" dataDxfId="92"/>
    <tableColumn id="6" xr3:uid="{3099B819-4CA8-4B00-B4AB-E7F4E4E4152F}" name="File Date" dataDxfId="91"/>
    <tableColumn id="7" xr3:uid="{C58A935F-B118-41E1-8A37-2C9D37E55AA9}" name="Inst. Date" dataDxfId="90"/>
    <tableColumn id="8" xr3:uid="{41C570B6-0DF3-413D-8E15-4C61DA622E4C}" name="Grantor" dataDxfId="89"/>
    <tableColumn id="9" xr3:uid="{34CA6969-78E3-4DE8-B172-FFE52BDEF38A}" name="Grantee" dataDxfId="88"/>
    <tableColumn id="10" xr3:uid="{2A41C93B-8D43-44CE-8FF5-CC0A3EB15CDD}" name="Land Desc." dataDxfId="87"/>
    <tableColumn id="11" xr3:uid="{F127CF86-73CE-4AEB-80BA-8DA8FA7C0971}" name="Remarks" dataDxfId="86"/>
    <tableColumn id="5" xr3:uid="{68EFEA47-10E8-0049-AB94-6438F4CC71B7}" name="Decimal Mineral Ownership per 6/4/2009 DOTO" dataDxfId="8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102DD-6912-4A3C-AE6C-DC5DF49D8A1C}" name="Table1453543" displayName="Table1453543" ref="A1:N100" totalsRowShown="0" headerRowDxfId="168" dataDxfId="166" headerRowBorderDxfId="167">
  <autoFilter ref="A1:N100" xr:uid="{00000000-0009-0000-0100-000001000000}"/>
  <sortState xmlns:xlrd2="http://schemas.microsoft.com/office/spreadsheetml/2017/richdata2" ref="A2:N100">
    <sortCondition ref="H1:H100"/>
  </sortState>
  <tableColumns count="14">
    <tableColumn id="12" xr3:uid="{EDE7360D-F247-4E97-95D7-58E866EE8835}" name="Documents Hyperlinked to TORS_Documents Folder" dataDxfId="165">
      <calculatedColumnFormula>HYPERLINK(Table1453543[[#This Row],[Image Path]],Table1453543[[#This Row],[Order by Date]])</calculatedColumnFormula>
    </tableColumn>
    <tableColumn id="1" xr3:uid="{4BF91107-CAC9-4976-92B1-051DC81EE768}" name="Instrument" dataDxfId="164"/>
    <tableColumn id="17" xr3:uid="{8AA22FD1-0417-46BD-AF93-F82E08A1510B}" name="Order by Date" dataDxfId="163"/>
    <tableColumn id="15" xr3:uid="{4D36AD6D-93D4-484A-984E-E096FA2BF422}" name="Image Path" dataDxfId="162">
      <calculatedColumnFormula>CONCATENATE("TORS_Documents\",Table1453543[[#This Row],[Instrument No.
San Jacinto]],".pdf")</calculatedColumnFormula>
    </tableColumn>
    <tableColumn id="2" xr3:uid="{646B6D3B-272A-47C5-B753-E6BDF176FBC9}" name="Vol" dataDxfId="161"/>
    <tableColumn id="3" xr3:uid="{41CDF753-50E0-430B-A3CB-D330AA602A7E}" name="Page" dataDxfId="160"/>
    <tableColumn id="4" xr3:uid="{B98902C3-2310-481B-8632-E5B9C02912B5}" name="Instrument No._x000a_San Jacinto" dataDxfId="159"/>
    <tableColumn id="6" xr3:uid="{B3FE443B-A465-4ECA-A4FC-CC4E5031DB67}" name="File Date" dataDxfId="158"/>
    <tableColumn id="7" xr3:uid="{9E862CF2-97EA-427D-A806-57D3D9D3DF5B}" name="Inst. Date" dataDxfId="157"/>
    <tableColumn id="8" xr3:uid="{72E22C11-3DBC-4994-B98A-B49888A6D499}" name="Grantor" dataDxfId="156"/>
    <tableColumn id="9" xr3:uid="{D5B068AF-55A8-4620-80A6-2A51B6077365}" name="Grantee" dataDxfId="155"/>
    <tableColumn id="10" xr3:uid="{4DB5CA66-B929-49B1-B419-1AA2D24269B8}" name="Land Desc." dataDxfId="154"/>
    <tableColumn id="11" xr3:uid="{D629DEE5-CDDC-4C1A-8B43-00BA75C250C2}" name="Remarks" dataDxfId="153"/>
    <tableColumn id="5" xr3:uid="{43FAF955-3BF9-404A-A7F1-CC86D57C0A8A}" name="Decimal Mineral Ownership per 6/4/2009 DOTO" dataDxfId="15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4CA1F-A5F1-4E37-98BF-2C5CF4B53DCC}" name="Table14535434" displayName="Table14535434" ref="A1:N52" totalsRowShown="0" headerRowDxfId="84" dataDxfId="82" headerRowBorderDxfId="83">
  <autoFilter ref="A1:N52" xr:uid="{00000000-0009-0000-0100-000001000000}"/>
  <sortState xmlns:xlrd2="http://schemas.microsoft.com/office/spreadsheetml/2017/richdata2" ref="A2:N52">
    <sortCondition ref="H1:H52"/>
  </sortState>
  <tableColumns count="14">
    <tableColumn id="12" xr3:uid="{D9C0486F-D808-4C54-81BB-C1EF59479011}" name="Documents Hyperlinked to TORS_Documents Folder" dataDxfId="81">
      <calculatedColumnFormula>HYPERLINK(Table14535434[[#This Row],[Image Path]],Table14535434[[#This Row],[Order by Date]])</calculatedColumnFormula>
    </tableColumn>
    <tableColumn id="1" xr3:uid="{5564B23B-4715-4C34-A993-A6CA60698095}" name="Instrument" dataDxfId="80"/>
    <tableColumn id="17" xr3:uid="{B3B116A8-E92C-4047-AAB6-13915EDB26C9}" name="Order by Date" dataDxfId="79"/>
    <tableColumn id="15" xr3:uid="{FCB667EF-E6E0-45BF-B82A-4B013F81A4A0}" name="Image Path" dataDxfId="78">
      <calculatedColumnFormula>CONCATENATE("TORS_Documents\",Table14535434[[#This Row],[Instrument No.
San Jacinto]],".pdf")</calculatedColumnFormula>
    </tableColumn>
    <tableColumn id="2" xr3:uid="{5F3C5562-8064-47EB-9FE0-83F44691B814}" name="Vol" dataDxfId="77"/>
    <tableColumn id="3" xr3:uid="{E9924FDE-9F3A-4F7B-A2E3-DAED001793A5}" name="Page" dataDxfId="76"/>
    <tableColumn id="4" xr3:uid="{AF2BA43C-D0EE-44EC-94F5-B7D655978314}" name="Instrument No._x000a_San Jacinto" dataDxfId="75"/>
    <tableColumn id="6" xr3:uid="{23A669D0-4B12-4A44-8E55-66B564A46C60}" name="File Date" dataDxfId="74"/>
    <tableColumn id="7" xr3:uid="{981897E4-9439-4744-9CFA-5921EB6BC3DC}" name="Inst. Date" dataDxfId="73"/>
    <tableColumn id="8" xr3:uid="{199E8864-2039-4514-A0A9-894A8C0D045D}" name="Grantor" dataDxfId="72"/>
    <tableColumn id="9" xr3:uid="{20F05C4B-526C-40BA-90B9-2377CA28CAEF}" name="Grantee" dataDxfId="71"/>
    <tableColumn id="10" xr3:uid="{473A3FD6-2679-4250-BC9A-8A55A9F72DCF}" name="Land Desc." dataDxfId="70"/>
    <tableColumn id="11" xr3:uid="{04152518-C26C-49B4-8FF0-9C3A39B08597}" name="Remarks" dataDxfId="69"/>
    <tableColumn id="5" xr3:uid="{2629A109-795C-AD43-AD57-BB12DCD7F6F5}" name="Decimal Mineral Ownership per 6/4/2009 DOTO" dataDxfId="6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A4DE8D-4738-4E17-9A9C-DB5679884D9A}" name="Table145354345" displayName="Table145354345" ref="A1:N5" totalsRowShown="0" headerRowDxfId="67" dataDxfId="65" headerRowBorderDxfId="66">
  <autoFilter ref="A1:N5" xr:uid="{00000000-0009-0000-0100-000001000000}"/>
  <sortState xmlns:xlrd2="http://schemas.microsoft.com/office/spreadsheetml/2017/richdata2" ref="A2:M4">
    <sortCondition ref="I1:I4"/>
  </sortState>
  <tableColumns count="14">
    <tableColumn id="12" xr3:uid="{14116B51-3990-4CE9-80B2-5DB6635015DB}" name="Documents Hyperlinked to TORS_Documents Folder" dataDxfId="64">
      <calculatedColumnFormula>HYPERLINK(Table145354345[[#This Row],[Image Path]],Table145354345[[#This Row],[Order by Date]])</calculatedColumnFormula>
    </tableColumn>
    <tableColumn id="1" xr3:uid="{ACA55FBB-C720-448A-AC0F-E7D3C915F152}" name="Instrument" dataDxfId="63"/>
    <tableColumn id="17" xr3:uid="{B52AF047-227D-406A-8D81-45D25CAB8EEC}" name="Order by Date" dataDxfId="62"/>
    <tableColumn id="15" xr3:uid="{EEF48307-C853-4C57-BDD7-398B967DDAE4}" name="Image Path" dataDxfId="61">
      <calculatedColumnFormula>CONCATENATE("TORS_Documents\",Table145354345[[#This Row],[Instrument No.
San Jacinto]],".pdf")</calculatedColumnFormula>
    </tableColumn>
    <tableColumn id="2" xr3:uid="{4D177517-42E9-44DF-B5CF-A7A79E5C5E88}" name="Vol" dataDxfId="60"/>
    <tableColumn id="3" xr3:uid="{40219B58-57B0-4F3A-9090-22C001E1A589}" name="Page" dataDxfId="59"/>
    <tableColumn id="4" xr3:uid="{AB80DAFF-ECB0-4C9D-83CD-6DC1778E30BD}" name="Instrument No._x000a_San Jacinto" dataDxfId="58"/>
    <tableColumn id="6" xr3:uid="{E27FC1AA-929B-43E0-9492-AC8374C6AAD7}" name="File Date" dataDxfId="57"/>
    <tableColumn id="7" xr3:uid="{16E1C37E-066D-42D1-ABD9-F49FAE294F0C}" name="Inst. Date" dataDxfId="56"/>
    <tableColumn id="8" xr3:uid="{A3BCCB11-F81A-43F3-98D7-400B71F052BA}" name="Grantor" dataDxfId="55"/>
    <tableColumn id="9" xr3:uid="{1C9BE14A-3A23-40E9-8DE6-D75AD035BF68}" name="Grantee" dataDxfId="54"/>
    <tableColumn id="10" xr3:uid="{E36BDD4E-EC1E-4BE3-8D8E-163065D1C1CB}" name="Land Desc." dataDxfId="53"/>
    <tableColumn id="11" xr3:uid="{65B3FBB9-AB06-4046-9B5C-427D596AB0C8}" name="Remarks" dataDxfId="52"/>
    <tableColumn id="5" xr3:uid="{646A7520-6291-3641-B0B1-6870842B2BF4}" name="Decimal Mineral Ownership per 6/4/2009 DOTO" dataDxfId="5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7B4BB0-3755-46F2-A645-0952FD07516C}" name="Table1453543456" displayName="Table1453543456" ref="A1:N38" totalsRowShown="0" headerRowDxfId="50" dataDxfId="48" headerRowBorderDxfId="49">
  <autoFilter ref="A1:N38" xr:uid="{00000000-0009-0000-0100-000001000000}"/>
  <sortState xmlns:xlrd2="http://schemas.microsoft.com/office/spreadsheetml/2017/richdata2" ref="A2:N38">
    <sortCondition ref="H1:H38"/>
  </sortState>
  <tableColumns count="14">
    <tableColumn id="12" xr3:uid="{0EC5E7AD-A378-412D-A5C1-C67AD9A94D97}" name="Documents Hyperlinked to TORS_Documents Folder" dataDxfId="47">
      <calculatedColumnFormula>HYPERLINK(Table1453543456[[#This Row],[Image Path]],Table1453543456[[#This Row],[Order by Date]])</calculatedColumnFormula>
    </tableColumn>
    <tableColumn id="1" xr3:uid="{8E396BA9-F12F-4D77-8209-B1C4BAAB52A1}" name="Instrument" dataDxfId="46"/>
    <tableColumn id="17" xr3:uid="{C0A8990C-B811-4CB5-BE90-2F3B494E00EB}" name="Order by Date" dataDxfId="45"/>
    <tableColumn id="15" xr3:uid="{F8B52791-E3BB-4DC4-9B2A-D548350BFEC0}" name="Image Path" dataDxfId="44">
      <calculatedColumnFormula>CONCATENATE("TORS_Documents\",Table1453543456[[#This Row],[Instrument No.
San Jacinto]],".pdf")</calculatedColumnFormula>
    </tableColumn>
    <tableColumn id="2" xr3:uid="{6893797A-90D3-4A48-AD9A-2F293158DC45}" name="Vol" dataDxfId="43"/>
    <tableColumn id="3" xr3:uid="{8CF84736-0B0B-459D-A181-F2E580E4E94A}" name="Page" dataDxfId="42"/>
    <tableColumn id="4" xr3:uid="{49015C27-D073-4E11-8531-9B6DCD272CF4}" name="Instrument No._x000a_San Jacinto" dataDxfId="41"/>
    <tableColumn id="6" xr3:uid="{FDF1A895-3E51-4432-8331-35F64C7C6BA5}" name="File Date" dataDxfId="40"/>
    <tableColumn id="7" xr3:uid="{B9866375-997D-467A-94E0-073AEB21EC64}" name="Inst. Date" dataDxfId="39"/>
    <tableColumn id="8" xr3:uid="{2C6264B4-D336-4DD7-B038-D7B2821C1A6B}" name="Grantor" dataDxfId="38"/>
    <tableColumn id="9" xr3:uid="{8AC6AEFB-97B2-49C5-BCFE-6EA1EE0A0B22}" name="Grantee" dataDxfId="37"/>
    <tableColumn id="10" xr3:uid="{81AB6E46-F17E-41D4-98E8-114A9BD95EF5}" name="Land Desc." dataDxfId="36"/>
    <tableColumn id="11" xr3:uid="{B3EE3BA3-B122-4591-A65F-0201DAE4E944}" name="Remarks" dataDxfId="35"/>
    <tableColumn id="5" xr3:uid="{29C5BA20-ED46-E64B-853B-C87EB658B187}" name="Decimal Mineral Ownership per 6/4/2009 DOTO" dataDxfId="34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9EF382-092E-46F9-82FD-251076D26F26}" name="Table14535434567" displayName="Table14535434567" ref="A1:N35" totalsRowShown="0" headerRowDxfId="33" dataDxfId="31" headerRowBorderDxfId="32">
  <autoFilter ref="A1:N35" xr:uid="{00000000-0009-0000-0100-000001000000}"/>
  <sortState xmlns:xlrd2="http://schemas.microsoft.com/office/spreadsheetml/2017/richdata2" ref="A2:N35">
    <sortCondition ref="H1:H35"/>
  </sortState>
  <tableColumns count="14">
    <tableColumn id="12" xr3:uid="{E7F9BCF9-1056-4F6A-890F-FA3A37C56977}" name="Documents Hyperlinked to TORS_Documents Folder" dataDxfId="30">
      <calculatedColumnFormula>HYPERLINK(Table14535434567[[#This Row],[Image Path]],Table14535434567[[#This Row],[Order by Date]])</calculatedColumnFormula>
    </tableColumn>
    <tableColumn id="1" xr3:uid="{DDC7A4FA-33FB-4923-8AC2-BB2355686B32}" name="Instrument" dataDxfId="29"/>
    <tableColumn id="17" xr3:uid="{D4E5C327-D9C0-4890-96C3-064B4C6FD661}" name="Order by Date" dataDxfId="28"/>
    <tableColumn id="15" xr3:uid="{690014F1-BCEA-4BD8-B3EB-E4EA5E563922}" name="Image Path" dataDxfId="27">
      <calculatedColumnFormula>CONCATENATE("TORS_Documents\",Table14535434567[[#This Row],[Instrument No.
San Jacinto]],".pdf")</calculatedColumnFormula>
    </tableColumn>
    <tableColumn id="2" xr3:uid="{ED267E79-6280-4B3B-A18D-EFE531B25CC4}" name="Vol" dataDxfId="26"/>
    <tableColumn id="3" xr3:uid="{6FF817DC-3438-4E0E-A1FA-CCA7D72A10BC}" name="Page" dataDxfId="25"/>
    <tableColumn id="4" xr3:uid="{50C8AC16-A89B-45FF-917D-1A311F84B677}" name="Instrument No._x000a_San Jacinto" dataDxfId="24"/>
    <tableColumn id="6" xr3:uid="{EA9B74F0-6E39-4158-B4AB-64285A0858DF}" name="File Date" dataDxfId="23"/>
    <tableColumn id="7" xr3:uid="{F8DD74CC-6538-41B7-90EA-31C6A89FAA23}" name="Inst. Date" dataDxfId="22"/>
    <tableColumn id="8" xr3:uid="{BBD10F26-2CD7-412D-A83A-424C0E8083D9}" name="Grantor" dataDxfId="21"/>
    <tableColumn id="9" xr3:uid="{49E94A2D-CE62-4715-A180-6F63A06E44A9}" name="Grantee" dataDxfId="20"/>
    <tableColumn id="10" xr3:uid="{E1C2C66A-D4B9-4FB4-844D-D0DE13616913}" name="Land Desc." dataDxfId="19"/>
    <tableColumn id="11" xr3:uid="{2FFD3EA8-0BEF-4065-BDB9-CCE0BCB4D8F6}" name="Remarks" dataDxfId="18"/>
    <tableColumn id="5" xr3:uid="{AF7F1252-F2B0-844D-AF50-452964B359FE}" name="Decimal Mineral Ownership per 6/4/2009 DOTO" dataDxfId="17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88EA75-CDB0-43DF-BA32-100B926F63FD}" name="Table145354345678" displayName="Table145354345678" ref="A1:N12" totalsRowShown="0" headerRowDxfId="16" dataDxfId="14" headerRowBorderDxfId="15">
  <autoFilter ref="A1:N12" xr:uid="{00000000-0009-0000-0100-000001000000}"/>
  <sortState xmlns:xlrd2="http://schemas.microsoft.com/office/spreadsheetml/2017/richdata2" ref="A2:N12">
    <sortCondition ref="H1:H12"/>
  </sortState>
  <tableColumns count="14">
    <tableColumn id="12" xr3:uid="{32BD3B62-D287-4F34-B928-0F4E00BB4206}" name="Documents Hyperlinked to TORS_Documents Folder" dataDxfId="13">
      <calculatedColumnFormula>HYPERLINK(Table145354345678[[#This Row],[Image Path]],Table145354345678[[#This Row],[Order by Date]])</calculatedColumnFormula>
    </tableColumn>
    <tableColumn id="1" xr3:uid="{95DF5F1A-C166-4D6B-BFA0-B347ABDD6F80}" name="Instrument" dataDxfId="12"/>
    <tableColumn id="17" xr3:uid="{8FC180AB-0288-4BEA-8D80-10848B3812DF}" name="Order by Date" dataDxfId="11"/>
    <tableColumn id="15" xr3:uid="{AAC14938-0639-4C41-8CB7-B4161EC6102F}" name="Image Path" dataDxfId="10">
      <calculatedColumnFormula>CONCATENATE("TORS_Documents\",Table145354345678[[#This Row],[Instrument No.
San Jacinto]],".pdf")</calculatedColumnFormula>
    </tableColumn>
    <tableColumn id="2" xr3:uid="{19E82C45-2EB9-4791-9C21-C01930CB8A26}" name="Vol" dataDxfId="9"/>
    <tableColumn id="3" xr3:uid="{C496A3C6-5B2D-4B30-9C16-A2FC085A59BF}" name="Page" dataDxfId="8"/>
    <tableColumn id="4" xr3:uid="{522472D1-C84B-44FB-A573-40F8D673B715}" name="Instrument No._x000a_San Jacinto" dataDxfId="7"/>
    <tableColumn id="6" xr3:uid="{E508D44E-B349-4B02-8D43-D5EAE7CDFBF6}" name="File Date" dataDxfId="6"/>
    <tableColumn id="7" xr3:uid="{6D77076C-68B2-4DDE-87D4-6E19BBA519DE}" name="Inst. Date" dataDxfId="5"/>
    <tableColumn id="8" xr3:uid="{BAD7ABA8-18C5-463A-AB0D-AC35CFE8C02C}" name="Grantor" dataDxfId="4"/>
    <tableColumn id="9" xr3:uid="{FC9527A7-7445-44F8-AA54-285A9CD48151}" name="Grantee" dataDxfId="3"/>
    <tableColumn id="10" xr3:uid="{241F2C57-4A2C-4536-9FDE-3D6B664A1CBA}" name="Land Desc." dataDxfId="2"/>
    <tableColumn id="11" xr3:uid="{49F2C4BB-D68A-4AD2-94BA-4FB3732616B2}" name="Remarks" dataDxfId="1"/>
    <tableColumn id="5" xr3:uid="{4B3E0068-C6B3-DB44-83B1-605F41B4A382}" name="Decimal Mineral Ownership per 6/4/2009 DO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34A4-E333-EF4E-8B53-1906DBFB32AD}">
  <dimension ref="A1:B32"/>
  <sheetViews>
    <sheetView topLeftCell="A11" workbookViewId="0">
      <selection activeCell="D14" sqref="D14"/>
    </sheetView>
  </sheetViews>
  <sheetFormatPr defaultColWidth="10.59765625" defaultRowHeight="14.25" x14ac:dyDescent="0.45"/>
  <cols>
    <col min="1" max="1" width="25.33203125" customWidth="1"/>
    <col min="2" max="2" width="23.46484375" customWidth="1"/>
  </cols>
  <sheetData>
    <row r="1" spans="1:1" ht="21" x14ac:dyDescent="0.65">
      <c r="A1" s="83" t="s">
        <v>171</v>
      </c>
    </row>
    <row r="2" spans="1:1" ht="21" x14ac:dyDescent="0.65">
      <c r="A2" s="83" t="s">
        <v>212</v>
      </c>
    </row>
    <row r="3" spans="1:1" ht="21" x14ac:dyDescent="0.65">
      <c r="A3" s="83" t="s">
        <v>168</v>
      </c>
    </row>
    <row r="4" spans="1:1" ht="21" x14ac:dyDescent="0.65">
      <c r="A4" s="83" t="s">
        <v>176</v>
      </c>
    </row>
    <row r="5" spans="1:1" ht="21" x14ac:dyDescent="0.65">
      <c r="A5" s="83" t="s">
        <v>172</v>
      </c>
    </row>
    <row r="6" spans="1:1" ht="21" x14ac:dyDescent="0.65">
      <c r="A6" s="83" t="s">
        <v>178</v>
      </c>
    </row>
    <row r="7" spans="1:1" ht="21" x14ac:dyDescent="0.65">
      <c r="A7" s="83" t="s">
        <v>282</v>
      </c>
    </row>
    <row r="8" spans="1:1" ht="21" x14ac:dyDescent="0.65">
      <c r="A8" s="83" t="s">
        <v>114</v>
      </c>
    </row>
    <row r="9" spans="1:1" ht="21" x14ac:dyDescent="0.65">
      <c r="A9" s="83" t="s">
        <v>117</v>
      </c>
    </row>
    <row r="10" spans="1:1" ht="21" x14ac:dyDescent="0.65">
      <c r="A10" s="83" t="s">
        <v>124</v>
      </c>
    </row>
    <row r="11" spans="1:1" ht="21" x14ac:dyDescent="0.65">
      <c r="A11" s="83" t="s">
        <v>180</v>
      </c>
    </row>
    <row r="12" spans="1:1" ht="21" x14ac:dyDescent="0.65">
      <c r="A12" s="83" t="s">
        <v>126</v>
      </c>
    </row>
    <row r="13" spans="1:1" ht="21" x14ac:dyDescent="0.65">
      <c r="A13" s="83" t="s">
        <v>127</v>
      </c>
    </row>
    <row r="14" spans="1:1" ht="21" x14ac:dyDescent="0.65">
      <c r="A14" s="83" t="s">
        <v>183</v>
      </c>
    </row>
    <row r="15" spans="1:1" ht="21" x14ac:dyDescent="0.65">
      <c r="A15" s="83" t="s">
        <v>129</v>
      </c>
    </row>
    <row r="16" spans="1:1" ht="21" x14ac:dyDescent="0.65">
      <c r="A16" s="83" t="s">
        <v>131</v>
      </c>
    </row>
    <row r="17" spans="1:2" ht="21" x14ac:dyDescent="0.65">
      <c r="A17" s="83" t="s">
        <v>119</v>
      </c>
    </row>
    <row r="18" spans="1:2" ht="21" x14ac:dyDescent="0.65">
      <c r="A18" s="83" t="s">
        <v>133</v>
      </c>
    </row>
    <row r="19" spans="1:2" ht="21" x14ac:dyDescent="0.65">
      <c r="A19" s="83" t="s">
        <v>135</v>
      </c>
    </row>
    <row r="20" spans="1:2" ht="21" x14ac:dyDescent="0.65">
      <c r="A20" s="83" t="s">
        <v>121</v>
      </c>
    </row>
    <row r="21" spans="1:2" ht="21" x14ac:dyDescent="0.65">
      <c r="A21" s="83" t="s">
        <v>232</v>
      </c>
    </row>
    <row r="22" spans="1:2" ht="21" x14ac:dyDescent="0.65">
      <c r="A22" s="83" t="s">
        <v>229</v>
      </c>
    </row>
    <row r="23" spans="1:2" ht="21" x14ac:dyDescent="0.65">
      <c r="A23" s="83" t="s">
        <v>128</v>
      </c>
    </row>
    <row r="24" spans="1:2" ht="21" x14ac:dyDescent="0.65">
      <c r="A24" s="83" t="s">
        <v>137</v>
      </c>
    </row>
    <row r="25" spans="1:2" ht="21" x14ac:dyDescent="0.65">
      <c r="A25" s="83" t="s">
        <v>140</v>
      </c>
    </row>
    <row r="26" spans="1:2" ht="21" x14ac:dyDescent="0.65">
      <c r="A26" s="83" t="s">
        <v>220</v>
      </c>
    </row>
    <row r="27" spans="1:2" ht="21" x14ac:dyDescent="0.65">
      <c r="A27" s="83" t="s">
        <v>209</v>
      </c>
    </row>
    <row r="28" spans="1:2" ht="21" x14ac:dyDescent="0.65">
      <c r="A28" s="83" t="s">
        <v>123</v>
      </c>
    </row>
    <row r="29" spans="1:2" ht="21" x14ac:dyDescent="0.65">
      <c r="A29" s="83" t="s">
        <v>186</v>
      </c>
    </row>
    <row r="30" spans="1:2" ht="21" x14ac:dyDescent="0.65">
      <c r="A30" s="83" t="s">
        <v>213</v>
      </c>
      <c r="B30" t="s">
        <v>410</v>
      </c>
    </row>
    <row r="31" spans="1:2" ht="21" x14ac:dyDescent="0.65">
      <c r="A31" s="83" t="s">
        <v>214</v>
      </c>
      <c r="B31" t="s">
        <v>410</v>
      </c>
    </row>
    <row r="32" spans="1:2" ht="21" x14ac:dyDescent="0.65">
      <c r="A32" s="83" t="s">
        <v>234</v>
      </c>
      <c r="B32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7002-C33B-A443-924B-3470EC4D494B}">
  <sheetPr>
    <pageSetUpPr fitToPage="1"/>
  </sheetPr>
  <dimension ref="A1:N62"/>
  <sheetViews>
    <sheetView tabSelected="1" zoomScale="80" zoomScaleNormal="80" workbookViewId="0">
      <selection activeCell="D46" sqref="D46"/>
    </sheetView>
  </sheetViews>
  <sheetFormatPr defaultColWidth="8.796875" defaultRowHeight="14.25" x14ac:dyDescent="0.45"/>
  <cols>
    <col min="1" max="1" width="15.33203125" style="1" customWidth="1"/>
    <col min="2" max="2" width="14" style="37" customWidth="1"/>
    <col min="3" max="3" width="8.46484375" style="39" customWidth="1"/>
    <col min="4" max="4" width="42.59765625" style="37" customWidth="1"/>
    <col min="5" max="5" width="6.796875" style="39" customWidth="1"/>
    <col min="6" max="6" width="7" style="39" customWidth="1"/>
    <col min="7" max="7" width="12.33203125" style="39" customWidth="1"/>
    <col min="8" max="8" width="12" style="40" customWidth="1"/>
    <col min="9" max="9" width="11.46484375" style="41" customWidth="1"/>
    <col min="10" max="10" width="47" style="39" customWidth="1"/>
    <col min="11" max="11" width="47" style="37" customWidth="1"/>
    <col min="12" max="12" width="52.796875" style="37" customWidth="1"/>
    <col min="13" max="13" width="55.33203125" style="37" customWidth="1"/>
    <col min="14" max="16384" width="8.796875" style="37"/>
  </cols>
  <sheetData>
    <row r="1" spans="1:13" ht="57.4" thickBot="1" x14ac:dyDescent="0.5">
      <c r="A1" s="153" t="s">
        <v>73</v>
      </c>
      <c r="B1" s="153" t="s">
        <v>0</v>
      </c>
      <c r="C1" s="153" t="s">
        <v>1</v>
      </c>
      <c r="D1" s="154" t="s">
        <v>2</v>
      </c>
      <c r="E1" s="153" t="s">
        <v>3</v>
      </c>
      <c r="F1" s="153" t="s">
        <v>4</v>
      </c>
      <c r="G1" s="153" t="s">
        <v>5</v>
      </c>
      <c r="H1" s="153" t="s">
        <v>6</v>
      </c>
      <c r="I1" s="153" t="s">
        <v>449</v>
      </c>
      <c r="J1" s="153" t="s">
        <v>517</v>
      </c>
      <c r="K1" s="153" t="s">
        <v>518</v>
      </c>
      <c r="L1" s="153" t="s">
        <v>10</v>
      </c>
      <c r="M1" s="153" t="s">
        <v>11</v>
      </c>
    </row>
    <row r="2" spans="1:13" s="17" customFormat="1" ht="28.5" x14ac:dyDescent="0.45">
      <c r="A2" s="92">
        <f>HYPERLINK(Table14535410[[#This Row],[Image Path]],Table14535410[[#This Row],[Order by Date]])</f>
        <v>1</v>
      </c>
      <c r="B2" s="93" t="s">
        <v>29</v>
      </c>
      <c r="C2" s="95">
        <v>1</v>
      </c>
      <c r="D2" s="94" t="str">
        <f>CONCATENATE("TORS_Documents\",Table14535410[[#This Row],[Instrument No.
San Jacinto]],".pdf")</f>
        <v>TORS_Documents\DOTO_ElmoreC-1_Unit.pdf</v>
      </c>
      <c r="E2" s="145"/>
      <c r="F2" s="145"/>
      <c r="G2" s="74" t="s">
        <v>30</v>
      </c>
      <c r="H2" s="130">
        <v>39968</v>
      </c>
      <c r="I2" s="130">
        <v>39906</v>
      </c>
      <c r="J2" s="93" t="s">
        <v>31</v>
      </c>
      <c r="K2" s="93" t="s">
        <v>32</v>
      </c>
      <c r="L2" s="93" t="s">
        <v>372</v>
      </c>
      <c r="M2" s="93" t="s">
        <v>373</v>
      </c>
    </row>
    <row r="3" spans="1:13" s="17" customFormat="1" ht="28.5" x14ac:dyDescent="0.45">
      <c r="A3" s="92">
        <f>HYPERLINK(Table14535410[[#This Row],[Image Path]],Table14535410[[#This Row],[Order by Date]])</f>
        <v>2</v>
      </c>
      <c r="B3" s="93" t="s">
        <v>35</v>
      </c>
      <c r="C3" s="42">
        <f>C2+1</f>
        <v>2</v>
      </c>
      <c r="D3" s="94" t="str">
        <f>CONCATENATE("TORS_Documents\",Table14535410[[#This Row],[Instrument No.
San Jacinto]],".pdf")</f>
        <v>TORS_Documents\11-769.pdf</v>
      </c>
      <c r="E3" s="95"/>
      <c r="F3" s="95"/>
      <c r="G3" s="130" t="s">
        <v>33</v>
      </c>
      <c r="H3" s="130">
        <v>40585</v>
      </c>
      <c r="I3" s="130">
        <v>39814</v>
      </c>
      <c r="J3" s="93" t="s">
        <v>32</v>
      </c>
      <c r="K3" s="93" t="s">
        <v>34</v>
      </c>
      <c r="L3" s="93" t="s">
        <v>36</v>
      </c>
      <c r="M3" s="93" t="s">
        <v>37</v>
      </c>
    </row>
    <row r="4" spans="1:13" s="17" customFormat="1" x14ac:dyDescent="0.45">
      <c r="A4" s="90">
        <f>HYPERLINK(Table14535410[[#This Row],[Image Path]],Table14535410[[#This Row],[Order by Date]])</f>
        <v>3</v>
      </c>
      <c r="B4" s="84" t="s">
        <v>413</v>
      </c>
      <c r="C4" s="42">
        <f t="shared" ref="C4:C41" si="0">C3+1</f>
        <v>3</v>
      </c>
      <c r="D4" s="21" t="str">
        <f>CONCATENATE("TORS_Documents\",Table14535410[[#This Row],[Instrument No.
San Jacinto]],".pdf")</f>
        <v>TORS_Documents\09-3941.pdf</v>
      </c>
      <c r="E4" s="42"/>
      <c r="F4" s="42"/>
      <c r="G4" s="8" t="s">
        <v>418</v>
      </c>
      <c r="H4" s="14">
        <v>39988</v>
      </c>
      <c r="I4" s="14">
        <v>39973</v>
      </c>
      <c r="J4" s="22" t="s">
        <v>108</v>
      </c>
      <c r="K4" s="22" t="s">
        <v>32</v>
      </c>
      <c r="L4" s="22" t="s">
        <v>411</v>
      </c>
      <c r="M4" s="22" t="s">
        <v>441</v>
      </c>
    </row>
    <row r="5" spans="1:13" s="17" customFormat="1" x14ac:dyDescent="0.45">
      <c r="A5" s="90">
        <f>HYPERLINK(Table14535410[[#This Row],[Image Path]],Table14535410[[#This Row],[Order by Date]])</f>
        <v>4</v>
      </c>
      <c r="B5" s="84" t="s">
        <v>413</v>
      </c>
      <c r="C5" s="42">
        <f t="shared" si="0"/>
        <v>4</v>
      </c>
      <c r="D5" s="21" t="str">
        <f>CONCATENATE("TORS_Documents\",Table14535410[[#This Row],[Instrument No.
San Jacinto]],".pdf")</f>
        <v>TORS_Documents\09-4292.pdf</v>
      </c>
      <c r="E5" s="42"/>
      <c r="F5" s="42"/>
      <c r="G5" s="8" t="s">
        <v>419</v>
      </c>
      <c r="H5" s="14">
        <v>40001</v>
      </c>
      <c r="I5" s="14">
        <v>39982</v>
      </c>
      <c r="J5" s="22" t="s">
        <v>239</v>
      </c>
      <c r="K5" s="22" t="s">
        <v>32</v>
      </c>
      <c r="L5" s="22" t="s">
        <v>411</v>
      </c>
      <c r="M5" s="22" t="s">
        <v>441</v>
      </c>
    </row>
    <row r="6" spans="1:13" s="17" customFormat="1" x14ac:dyDescent="0.45">
      <c r="A6" s="90">
        <f>HYPERLINK(Table14535410[[#This Row],[Image Path]],Table14535410[[#This Row],[Order by Date]])</f>
        <v>5</v>
      </c>
      <c r="B6" s="84" t="s">
        <v>413</v>
      </c>
      <c r="C6" s="42">
        <f t="shared" si="0"/>
        <v>5</v>
      </c>
      <c r="D6" s="21" t="str">
        <f>CONCATENATE("TORS_Documents\",Table14535410[[#This Row],[Instrument No.
San Jacinto]],".pdf")</f>
        <v>TORS_Documents\09-4291.pdf</v>
      </c>
      <c r="E6" s="42"/>
      <c r="F6" s="42"/>
      <c r="G6" s="8" t="s">
        <v>420</v>
      </c>
      <c r="H6" s="14">
        <v>40001</v>
      </c>
      <c r="I6" s="14">
        <v>39986</v>
      </c>
      <c r="J6" s="22" t="s">
        <v>112</v>
      </c>
      <c r="K6" s="22" t="s">
        <v>32</v>
      </c>
      <c r="L6" s="22" t="s">
        <v>411</v>
      </c>
      <c r="M6" s="22" t="s">
        <v>441</v>
      </c>
    </row>
    <row r="7" spans="1:13" s="17" customFormat="1" x14ac:dyDescent="0.45">
      <c r="A7" s="90">
        <f>HYPERLINK(Table14535410[[#This Row],[Image Path]],Table14535410[[#This Row],[Order by Date]])</f>
        <v>6</v>
      </c>
      <c r="B7" s="84" t="s">
        <v>413</v>
      </c>
      <c r="C7" s="42">
        <f t="shared" si="0"/>
        <v>6</v>
      </c>
      <c r="D7" s="21" t="str">
        <f>CONCATENATE("TORS_Documents\",Table14535410[[#This Row],[Instrument No.
San Jacinto]],".pdf")</f>
        <v>TORS_Documents\09-4769.pdf</v>
      </c>
      <c r="E7" s="42"/>
      <c r="F7" s="42"/>
      <c r="G7" s="8" t="s">
        <v>421</v>
      </c>
      <c r="H7" s="14">
        <v>40021</v>
      </c>
      <c r="I7" s="14">
        <v>40003</v>
      </c>
      <c r="J7" s="22" t="s">
        <v>109</v>
      </c>
      <c r="K7" s="22" t="s">
        <v>32</v>
      </c>
      <c r="L7" s="22" t="s">
        <v>411</v>
      </c>
      <c r="M7" s="22" t="s">
        <v>441</v>
      </c>
    </row>
    <row r="8" spans="1:13" s="17" customFormat="1" x14ac:dyDescent="0.45">
      <c r="A8" s="90">
        <f>HYPERLINK(Table14535410[[#This Row],[Image Path]],Table14535410[[#This Row],[Order by Date]])</f>
        <v>7</v>
      </c>
      <c r="B8" s="84" t="s">
        <v>413</v>
      </c>
      <c r="C8" s="42">
        <f t="shared" si="0"/>
        <v>7</v>
      </c>
      <c r="D8" s="21" t="str">
        <f>CONCATENATE("TORS_Documents\",Table14535410[[#This Row],[Instrument No.
San Jacinto]],".pdf")</f>
        <v>TORS_Documents\09-4770.pdf</v>
      </c>
      <c r="E8" s="42"/>
      <c r="F8" s="42"/>
      <c r="G8" s="8" t="s">
        <v>422</v>
      </c>
      <c r="H8" s="14">
        <v>40021</v>
      </c>
      <c r="I8" s="14">
        <v>40021</v>
      </c>
      <c r="J8" s="22" t="s">
        <v>412</v>
      </c>
      <c r="K8" s="22" t="s">
        <v>32</v>
      </c>
      <c r="L8" s="22" t="s">
        <v>411</v>
      </c>
      <c r="M8" s="22" t="s">
        <v>441</v>
      </c>
    </row>
    <row r="9" spans="1:13" s="17" customFormat="1" x14ac:dyDescent="0.45">
      <c r="A9" s="89">
        <f>HYPERLINK(Table14535410[[#This Row],[Image Path]],Table14535410[[#This Row],[Order by Date]])</f>
        <v>8</v>
      </c>
      <c r="B9" s="22" t="s">
        <v>38</v>
      </c>
      <c r="C9" s="42">
        <f t="shared" si="0"/>
        <v>8</v>
      </c>
      <c r="D9" s="21" t="str">
        <f>CONCATENATE("TORS_Documents\",Table14535410[[#This Row],[Instrument No.
San Jacinto]],".pdf")</f>
        <v>TORS_Documents\11-2474.pdf</v>
      </c>
      <c r="E9" s="42"/>
      <c r="F9" s="42"/>
      <c r="G9" s="8" t="s">
        <v>39</v>
      </c>
      <c r="H9" s="14">
        <v>40672</v>
      </c>
      <c r="I9" s="14">
        <v>40668</v>
      </c>
      <c r="J9" s="22" t="s">
        <v>32</v>
      </c>
      <c r="K9" s="22" t="s">
        <v>22</v>
      </c>
      <c r="L9" s="22" t="s">
        <v>40</v>
      </c>
      <c r="M9" s="22" t="s">
        <v>41</v>
      </c>
    </row>
    <row r="10" spans="1:13" s="17" customFormat="1" ht="42.75" x14ac:dyDescent="0.45">
      <c r="A10" s="89">
        <f>HYPERLINK(Table14535410[[#This Row],[Image Path]],Table14535410[[#This Row],[Order by Date]])</f>
        <v>9</v>
      </c>
      <c r="B10" s="22" t="s">
        <v>38</v>
      </c>
      <c r="C10" s="42">
        <f t="shared" si="0"/>
        <v>9</v>
      </c>
      <c r="D10" s="21" t="str">
        <f>CONCATENATE("TORS_Documents\",Table14535410[[#This Row],[Instrument No.
San Jacinto]],".pdf")</f>
        <v>TORS_Documents\11-3054.pdf</v>
      </c>
      <c r="E10" s="42"/>
      <c r="F10" s="42"/>
      <c r="G10" s="8" t="s">
        <v>43</v>
      </c>
      <c r="H10" s="14">
        <v>40715</v>
      </c>
      <c r="I10" s="14">
        <v>40710</v>
      </c>
      <c r="J10" s="22" t="s">
        <v>32</v>
      </c>
      <c r="K10" s="22" t="s">
        <v>22</v>
      </c>
      <c r="L10" s="22" t="s">
        <v>40</v>
      </c>
      <c r="M10" s="22" t="s">
        <v>42</v>
      </c>
    </row>
    <row r="11" spans="1:13" s="17" customFormat="1" ht="28.5" x14ac:dyDescent="0.45">
      <c r="A11" s="89">
        <f>HYPERLINK(Table14535410[[#This Row],[Image Path]],Table14535410[[#This Row],[Order by Date]])</f>
        <v>10</v>
      </c>
      <c r="B11" s="22" t="s">
        <v>50</v>
      </c>
      <c r="C11" s="42">
        <f t="shared" si="0"/>
        <v>10</v>
      </c>
      <c r="D11" s="21" t="str">
        <f>CONCATENATE("TORS_Documents\",Table14535410[[#This Row],[Instrument No.
San Jacinto]],".pdf")</f>
        <v>TORS_Documents\20162866.pdf</v>
      </c>
      <c r="E11" s="42"/>
      <c r="F11" s="42"/>
      <c r="G11" s="8" t="s">
        <v>51</v>
      </c>
      <c r="H11" s="14">
        <v>42522</v>
      </c>
      <c r="I11" s="14">
        <v>42491</v>
      </c>
      <c r="J11" s="22" t="s">
        <v>52</v>
      </c>
      <c r="K11" s="22" t="s">
        <v>23</v>
      </c>
      <c r="L11" s="22" t="s">
        <v>53</v>
      </c>
      <c r="M11" s="22" t="s">
        <v>54</v>
      </c>
    </row>
    <row r="12" spans="1:13" s="17" customFormat="1" ht="28.5" x14ac:dyDescent="0.45">
      <c r="A12" s="89">
        <f>HYPERLINK(Table14535410[[#This Row],[Image Path]],Table14535410[[#This Row],[Order by Date]])</f>
        <v>11</v>
      </c>
      <c r="B12" s="22" t="s">
        <v>50</v>
      </c>
      <c r="C12" s="42">
        <f t="shared" si="0"/>
        <v>11</v>
      </c>
      <c r="D12" s="21" t="str">
        <f>CONCATENATE("TORS_Documents\",Table14535410[[#This Row],[Instrument No.
San Jacinto]],".pdf")</f>
        <v>TORS_Documents\20165198.pdf</v>
      </c>
      <c r="E12" s="42"/>
      <c r="F12" s="42"/>
      <c r="G12" s="8" t="s">
        <v>60</v>
      </c>
      <c r="H12" s="14">
        <v>42632</v>
      </c>
      <c r="I12" s="14">
        <v>42491</v>
      </c>
      <c r="J12" s="22" t="s">
        <v>64</v>
      </c>
      <c r="K12" s="22" t="s">
        <v>65</v>
      </c>
      <c r="L12" s="22" t="s">
        <v>53</v>
      </c>
      <c r="M12" s="22" t="s">
        <v>66</v>
      </c>
    </row>
    <row r="13" spans="1:13" s="17" customFormat="1" ht="28.5" x14ac:dyDescent="0.45">
      <c r="A13" s="88">
        <f>HYPERLINK(Table14535410[[#This Row],[Image Path]],Table14535410[[#This Row],[Order by Date]])</f>
        <v>12</v>
      </c>
      <c r="B13" s="22" t="s">
        <v>59</v>
      </c>
      <c r="C13" s="42">
        <f t="shared" si="0"/>
        <v>12</v>
      </c>
      <c r="D13" s="21" t="str">
        <f>CONCATENATE("TORS_Documents\",Table14535410[[#This Row],[Instrument No.
San Jacinto]],".pdf")</f>
        <v>TORS_Documents\20172084.pdf</v>
      </c>
      <c r="E13" s="42"/>
      <c r="F13" s="42"/>
      <c r="G13" s="8" t="s">
        <v>57</v>
      </c>
      <c r="H13" s="14">
        <v>42842</v>
      </c>
      <c r="I13" s="14">
        <v>42492</v>
      </c>
      <c r="J13" s="22" t="s">
        <v>61</v>
      </c>
      <c r="K13" s="22" t="s">
        <v>62</v>
      </c>
      <c r="L13" s="22" t="s">
        <v>63</v>
      </c>
      <c r="M13" s="22"/>
    </row>
    <row r="14" spans="1:13" s="17" customFormat="1" ht="57" x14ac:dyDescent="0.45">
      <c r="A14" s="89">
        <f>HYPERLINK(Table14535410[[#This Row],[Image Path]],Table14535410[[#This Row],[Order by Date]])</f>
        <v>13</v>
      </c>
      <c r="B14" s="22" t="s">
        <v>44</v>
      </c>
      <c r="C14" s="42">
        <f t="shared" si="0"/>
        <v>13</v>
      </c>
      <c r="D14" s="21" t="str">
        <f>CONCATENATE("TORS_Documents\",Table14535410[[#This Row],[Instrument No.
San Jacinto]],".pdf")</f>
        <v>TORS_Documents\20171749.pdf</v>
      </c>
      <c r="E14" s="42"/>
      <c r="F14" s="42"/>
      <c r="G14" s="8" t="s">
        <v>45</v>
      </c>
      <c r="H14" s="14">
        <v>42825</v>
      </c>
      <c r="I14" s="14">
        <v>42822</v>
      </c>
      <c r="J14" s="22" t="s">
        <v>23</v>
      </c>
      <c r="K14" s="22" t="s">
        <v>22</v>
      </c>
      <c r="L14" s="22" t="s">
        <v>46</v>
      </c>
      <c r="M14" s="22" t="s">
        <v>376</v>
      </c>
    </row>
    <row r="15" spans="1:13" s="17" customFormat="1" ht="28.5" x14ac:dyDescent="0.45">
      <c r="A15" s="89">
        <f>HYPERLINK(Table14535410[[#This Row],[Image Path]],Table14535410[[#This Row],[Order by Date]])</f>
        <v>14</v>
      </c>
      <c r="B15" s="22" t="s">
        <v>50</v>
      </c>
      <c r="C15" s="42">
        <f t="shared" si="0"/>
        <v>14</v>
      </c>
      <c r="D15" s="21" t="str">
        <f>CONCATENATE("TORS_Documents\",Table14535410[[#This Row],[Instrument No.
San Jacinto]],".pdf")</f>
        <v>TORS_Documents\20175815.pdf</v>
      </c>
      <c r="E15" s="42"/>
      <c r="F15" s="42"/>
      <c r="G15" s="8" t="s">
        <v>58</v>
      </c>
      <c r="H15" s="14">
        <v>43021</v>
      </c>
      <c r="I15" s="14">
        <v>42979</v>
      </c>
      <c r="J15" s="22" t="s">
        <v>55</v>
      </c>
      <c r="K15" s="22" t="s">
        <v>23</v>
      </c>
      <c r="L15" s="22" t="s">
        <v>53</v>
      </c>
      <c r="M15" s="22" t="s">
        <v>56</v>
      </c>
    </row>
    <row r="16" spans="1:13" ht="28.5" x14ac:dyDescent="0.45">
      <c r="A16" s="89">
        <f>HYPERLINK(Table14535410[[#This Row],[Image Path]],Table14535410[[#This Row],[Order by Date]])</f>
        <v>15</v>
      </c>
      <c r="B16" s="22" t="s">
        <v>50</v>
      </c>
      <c r="C16" s="42">
        <f t="shared" si="0"/>
        <v>15</v>
      </c>
      <c r="D16" s="21" t="str">
        <f>CONCATENATE("TORS_Documents\",Table14535410[[#This Row],[Instrument No.
San Jacinto]],".pdf")</f>
        <v>TORS_Documents\20176874.pdf</v>
      </c>
      <c r="E16" s="42"/>
      <c r="F16" s="42"/>
      <c r="G16" s="8" t="s">
        <v>74</v>
      </c>
      <c r="H16" s="14">
        <v>43081</v>
      </c>
      <c r="I16" s="14">
        <v>43009</v>
      </c>
      <c r="J16" s="22" t="s">
        <v>78</v>
      </c>
      <c r="K16" s="22" t="s">
        <v>23</v>
      </c>
      <c r="L16" s="22" t="s">
        <v>53</v>
      </c>
      <c r="M16" s="22" t="s">
        <v>442</v>
      </c>
    </row>
    <row r="17" spans="1:14" s="38" customFormat="1" ht="28.5" x14ac:dyDescent="0.45">
      <c r="A17" s="89">
        <f>HYPERLINK(Table14535410[[#This Row],[Image Path]],Table14535410[[#This Row],[Order by Date]])</f>
        <v>16</v>
      </c>
      <c r="B17" s="22" t="s">
        <v>50</v>
      </c>
      <c r="C17" s="42">
        <f t="shared" si="0"/>
        <v>16</v>
      </c>
      <c r="D17" s="21" t="str">
        <f>CONCATENATE("TORS_Documents\",Table14535410[[#This Row],[Instrument No.
San Jacinto]],".pdf")</f>
        <v>TORS_Documents\20176399.pdf</v>
      </c>
      <c r="E17" s="42"/>
      <c r="F17" s="42"/>
      <c r="G17" s="8" t="s">
        <v>76</v>
      </c>
      <c r="H17" s="14">
        <v>42979</v>
      </c>
      <c r="I17" s="14">
        <v>43053</v>
      </c>
      <c r="J17" s="22" t="s">
        <v>80</v>
      </c>
      <c r="K17" s="22" t="s">
        <v>374</v>
      </c>
      <c r="L17" s="22" t="s">
        <v>53</v>
      </c>
      <c r="M17" s="22" t="s">
        <v>443</v>
      </c>
    </row>
    <row r="18" spans="1:14" ht="28.5" x14ac:dyDescent="0.45">
      <c r="A18" s="89">
        <f>HYPERLINK(Table14535410[[#This Row],[Image Path]],Table14535410[[#This Row],[Order by Date]])</f>
        <v>17</v>
      </c>
      <c r="B18" s="22" t="s">
        <v>50</v>
      </c>
      <c r="C18" s="42">
        <f t="shared" si="0"/>
        <v>17</v>
      </c>
      <c r="D18" s="21" t="str">
        <f>CONCATENATE("TORS_Documents\",Table14535410[[#This Row],[Instrument No.
San Jacinto]],".pdf")</f>
        <v>TORS_Documents\20185813.pdf</v>
      </c>
      <c r="E18" s="42"/>
      <c r="F18" s="42"/>
      <c r="G18" s="8" t="s">
        <v>75</v>
      </c>
      <c r="H18" s="14">
        <v>43354</v>
      </c>
      <c r="I18" s="14">
        <v>43252</v>
      </c>
      <c r="J18" s="22" t="s">
        <v>79</v>
      </c>
      <c r="K18" s="22" t="s">
        <v>23</v>
      </c>
      <c r="L18" s="22" t="s">
        <v>53</v>
      </c>
      <c r="M18" s="22" t="s">
        <v>444</v>
      </c>
    </row>
    <row r="19" spans="1:14" ht="28.5" x14ac:dyDescent="0.45">
      <c r="A19" s="89">
        <f>HYPERLINK(Table14535410[[#This Row],[Image Path]],Table14535410[[#This Row],[Order by Date]])</f>
        <v>18</v>
      </c>
      <c r="B19" s="22" t="s">
        <v>50</v>
      </c>
      <c r="C19" s="42">
        <f t="shared" si="0"/>
        <v>18</v>
      </c>
      <c r="D19" s="21" t="str">
        <f>CONCATENATE("TORS_Documents\",Table14535410[[#This Row],[Instrument No.
San Jacinto]],".pdf")</f>
        <v>TORS_Documents\20193388.pdf</v>
      </c>
      <c r="E19" s="42"/>
      <c r="F19" s="42"/>
      <c r="G19" s="8" t="s">
        <v>77</v>
      </c>
      <c r="H19" s="14">
        <v>43620</v>
      </c>
      <c r="I19" s="14">
        <v>43556</v>
      </c>
      <c r="J19" s="22" t="s">
        <v>80</v>
      </c>
      <c r="K19" s="22" t="s">
        <v>375</v>
      </c>
      <c r="L19" s="22" t="s">
        <v>53</v>
      </c>
      <c r="M19" s="22" t="s">
        <v>444</v>
      </c>
      <c r="N19" s="34"/>
    </row>
    <row r="20" spans="1:14" ht="28.5" x14ac:dyDescent="0.45">
      <c r="A20" s="89">
        <f>HYPERLINK(Table14535410[[#This Row],[Image Path]],Table14535410[[#This Row],[Order by Date]])</f>
        <v>19</v>
      </c>
      <c r="B20" s="22" t="s">
        <v>48</v>
      </c>
      <c r="C20" s="42">
        <f t="shared" si="0"/>
        <v>19</v>
      </c>
      <c r="D20" s="21" t="str">
        <f>CONCATENATE("TORS_Documents\",Table14535410[[#This Row],[Instrument No.
San Jacinto]],".pdf")</f>
        <v>TORS_Documents\20200790.pdf</v>
      </c>
      <c r="E20" s="42"/>
      <c r="F20" s="42"/>
      <c r="G20" s="8" t="s">
        <v>47</v>
      </c>
      <c r="H20" s="14">
        <v>43871</v>
      </c>
      <c r="I20" s="14">
        <v>43860</v>
      </c>
      <c r="J20" s="22" t="s">
        <v>23</v>
      </c>
      <c r="K20" s="22" t="s">
        <v>34</v>
      </c>
      <c r="L20" s="22" t="s">
        <v>377</v>
      </c>
      <c r="M20" s="22" t="s">
        <v>49</v>
      </c>
      <c r="N20" s="34"/>
    </row>
    <row r="21" spans="1:14" ht="28.5" x14ac:dyDescent="0.45">
      <c r="A21" s="89">
        <f>HYPERLINK(Table14535410[[#This Row],[Image Path]],Table14535410[[#This Row],[Order by Date]])</f>
        <v>20</v>
      </c>
      <c r="B21" s="22" t="s">
        <v>20</v>
      </c>
      <c r="C21" s="42">
        <f t="shared" si="0"/>
        <v>20</v>
      </c>
      <c r="D21" s="21" t="str">
        <f>CONCATENATE("TORS_Documents\",Table14535410[[#This Row],[Instrument No.
San Jacinto]],".pdf")</f>
        <v>TORS_Documents\OGML_Powell.pdf</v>
      </c>
      <c r="E21" s="42"/>
      <c r="F21" s="42"/>
      <c r="G21" s="8" t="s">
        <v>290</v>
      </c>
      <c r="H21" s="14" t="s">
        <v>21</v>
      </c>
      <c r="I21" s="14">
        <v>45957</v>
      </c>
      <c r="J21" s="22" t="s">
        <v>301</v>
      </c>
      <c r="K21" s="22" t="s">
        <v>23</v>
      </c>
      <c r="L21" s="22" t="s">
        <v>345</v>
      </c>
      <c r="M21" s="22" t="s">
        <v>416</v>
      </c>
      <c r="N21" s="34"/>
    </row>
    <row r="22" spans="1:14" ht="28.5" x14ac:dyDescent="0.45">
      <c r="A22" s="89">
        <f>HYPERLINK(Table14535410[[#This Row],[Image Path]],Table14535410[[#This Row],[Order by Date]])</f>
        <v>21</v>
      </c>
      <c r="B22" s="22" t="s">
        <v>20</v>
      </c>
      <c r="C22" s="42">
        <f t="shared" si="0"/>
        <v>21</v>
      </c>
      <c r="D22" s="21" t="str">
        <f>CONCATENATE("TORS_Documents\",Table14535410[[#This Row],[Instrument No.
San Jacinto]],".pdf")</f>
        <v>TORS_Documents\OGML_Owen_Rigby&amp;Steven.pdf</v>
      </c>
      <c r="E22" s="42"/>
      <c r="F22" s="42"/>
      <c r="G22" s="8" t="s">
        <v>291</v>
      </c>
      <c r="H22" s="14" t="s">
        <v>21</v>
      </c>
      <c r="I22" s="14">
        <v>45957</v>
      </c>
      <c r="J22" s="22" t="s">
        <v>302</v>
      </c>
      <c r="K22" s="22" t="s">
        <v>23</v>
      </c>
      <c r="L22" s="22" t="s">
        <v>345</v>
      </c>
      <c r="M22" s="22" t="s">
        <v>416</v>
      </c>
      <c r="N22" s="34"/>
    </row>
    <row r="23" spans="1:14" x14ac:dyDescent="0.45">
      <c r="A23" s="89">
        <f>HYPERLINK(Table14535410[[#This Row],[Image Path]],Table14535410[[#This Row],[Order by Date]])</f>
        <v>22</v>
      </c>
      <c r="B23" s="22" t="s">
        <v>20</v>
      </c>
      <c r="C23" s="42">
        <f t="shared" si="0"/>
        <v>22</v>
      </c>
      <c r="D23" s="21" t="str">
        <f>CONCATENATE("TORS_Documents\",Table14535410[[#This Row],[Instrument No.
San Jacinto]],".pdf")</f>
        <v>TORS_Documents\OGML_Few.pdf</v>
      </c>
      <c r="E23" s="42"/>
      <c r="F23" s="42"/>
      <c r="G23" s="8" t="s">
        <v>292</v>
      </c>
      <c r="H23" s="14" t="s">
        <v>21</v>
      </c>
      <c r="I23" s="14">
        <v>45957</v>
      </c>
      <c r="J23" s="22" t="s">
        <v>297</v>
      </c>
      <c r="K23" s="22" t="s">
        <v>23</v>
      </c>
      <c r="L23" s="22" t="s">
        <v>346</v>
      </c>
      <c r="M23" s="22" t="s">
        <v>416</v>
      </c>
      <c r="N23" s="34"/>
    </row>
    <row r="24" spans="1:14" ht="28.5" x14ac:dyDescent="0.45">
      <c r="A24" s="89">
        <f>HYPERLINK(Table14535410[[#This Row],[Image Path]],Table14535410[[#This Row],[Order by Date]])</f>
        <v>23</v>
      </c>
      <c r="B24" s="22" t="s">
        <v>20</v>
      </c>
      <c r="C24" s="42">
        <f t="shared" si="0"/>
        <v>23</v>
      </c>
      <c r="D24" s="21" t="str">
        <f>CONCATENATE("TORS_Documents\",Table14535410[[#This Row],[Instrument No.
San Jacinto]],".pdf")</f>
        <v>TORS_Documents\OGML_Trapp_Robt.pdf</v>
      </c>
      <c r="E24" s="42"/>
      <c r="F24" s="42"/>
      <c r="G24" s="8" t="s">
        <v>286</v>
      </c>
      <c r="H24" s="14" t="s">
        <v>21</v>
      </c>
      <c r="I24" s="14">
        <v>45960</v>
      </c>
      <c r="J24" s="22" t="s">
        <v>298</v>
      </c>
      <c r="K24" s="22" t="s">
        <v>23</v>
      </c>
      <c r="L24" s="22" t="s">
        <v>345</v>
      </c>
      <c r="M24" s="22" t="s">
        <v>416</v>
      </c>
      <c r="N24" s="34"/>
    </row>
    <row r="25" spans="1:14" ht="28.5" x14ac:dyDescent="0.45">
      <c r="A25" s="89">
        <f>HYPERLINK(Table14535410[[#This Row],[Image Path]],Table14535410[[#This Row],[Order by Date]])</f>
        <v>24</v>
      </c>
      <c r="B25" s="22" t="s">
        <v>20</v>
      </c>
      <c r="C25" s="42">
        <f t="shared" si="0"/>
        <v>24</v>
      </c>
      <c r="D25" s="21" t="str">
        <f>CONCATENATE("TORS_Documents\",Table14535410[[#This Row],[Instrument No.
San Jacinto]],".pdf")</f>
        <v>TORS_Documents\OGML_Trapp_Downey.pdf</v>
      </c>
      <c r="E25" s="42"/>
      <c r="F25" s="42"/>
      <c r="G25" s="8" t="s">
        <v>287</v>
      </c>
      <c r="H25" s="14" t="s">
        <v>21</v>
      </c>
      <c r="I25" s="14">
        <v>45960</v>
      </c>
      <c r="J25" s="22" t="s">
        <v>299</v>
      </c>
      <c r="K25" s="22" t="s">
        <v>23</v>
      </c>
      <c r="L25" s="22" t="s">
        <v>345</v>
      </c>
      <c r="M25" s="22" t="s">
        <v>416</v>
      </c>
      <c r="N25" s="34"/>
    </row>
    <row r="26" spans="1:14" ht="28.5" x14ac:dyDescent="0.45">
      <c r="A26" s="89">
        <f>HYPERLINK(Table14535410[[#This Row],[Image Path]],Table14535410[[#This Row],[Order by Date]])</f>
        <v>25</v>
      </c>
      <c r="B26" s="22" t="s">
        <v>20</v>
      </c>
      <c r="C26" s="42">
        <f t="shared" si="0"/>
        <v>25</v>
      </c>
      <c r="D26" s="21" t="str">
        <f>CONCATENATE("TORS_Documents\",Table14535410[[#This Row],[Instrument No.
San Jacinto]],".pdf")</f>
        <v>TORS_Documents\OGML_McClanahan.pdf</v>
      </c>
      <c r="E26" s="42"/>
      <c r="F26" s="42"/>
      <c r="G26" s="8" t="s">
        <v>288</v>
      </c>
      <c r="H26" s="14" t="s">
        <v>21</v>
      </c>
      <c r="I26" s="14">
        <v>45960</v>
      </c>
      <c r="J26" s="22" t="s">
        <v>111</v>
      </c>
      <c r="K26" s="22" t="s">
        <v>23</v>
      </c>
      <c r="L26" s="22" t="s">
        <v>345</v>
      </c>
      <c r="M26" s="22" t="s">
        <v>416</v>
      </c>
      <c r="N26" s="34"/>
    </row>
    <row r="27" spans="1:14" ht="28.5" x14ac:dyDescent="0.45">
      <c r="A27" s="89">
        <f>HYPERLINK(Table14535410[[#This Row],[Image Path]],Table14535410[[#This Row],[Order by Date]])</f>
        <v>26</v>
      </c>
      <c r="B27" s="22" t="s">
        <v>20</v>
      </c>
      <c r="C27" s="42">
        <f t="shared" si="0"/>
        <v>26</v>
      </c>
      <c r="D27" s="21" t="str">
        <f>CONCATENATE("TORS_Documents\",Table14535410[[#This Row],[Instrument No.
San Jacinto]],".pdf")</f>
        <v>TORS_Documents\OGML_Tinabeth_Keasling.pdf</v>
      </c>
      <c r="E27" s="42"/>
      <c r="F27" s="42"/>
      <c r="G27" s="8" t="s">
        <v>289</v>
      </c>
      <c r="H27" s="14" t="s">
        <v>21</v>
      </c>
      <c r="I27" s="14">
        <v>45960</v>
      </c>
      <c r="J27" s="22" t="s">
        <v>300</v>
      </c>
      <c r="K27" s="22" t="s">
        <v>23</v>
      </c>
      <c r="L27" s="22" t="s">
        <v>345</v>
      </c>
      <c r="M27" s="22" t="s">
        <v>416</v>
      </c>
      <c r="N27" s="34"/>
    </row>
    <row r="28" spans="1:14" ht="28.5" x14ac:dyDescent="0.45">
      <c r="A28" s="89">
        <f>HYPERLINK(Table14535410[[#This Row],[Image Path]],Table14535410[[#This Row],[Order by Date]])</f>
        <v>27</v>
      </c>
      <c r="B28" s="22" t="s">
        <v>20</v>
      </c>
      <c r="C28" s="42">
        <f t="shared" si="0"/>
        <v>27</v>
      </c>
      <c r="D28" s="21" t="str">
        <f>CONCATENATE("TORS_Documents\",Table14535410[[#This Row],[Instrument No.
San Jacinto]],".pdf")</f>
        <v>TORS_Documents\OGML_Drapak.pdf</v>
      </c>
      <c r="E28" s="42"/>
      <c r="F28" s="42"/>
      <c r="G28" s="8" t="s">
        <v>285</v>
      </c>
      <c r="H28" s="14" t="s">
        <v>21</v>
      </c>
      <c r="I28" s="14">
        <v>45961</v>
      </c>
      <c r="J28" s="22" t="s">
        <v>321</v>
      </c>
      <c r="K28" s="22" t="s">
        <v>23</v>
      </c>
      <c r="L28" s="22" t="s">
        <v>345</v>
      </c>
      <c r="M28" s="22" t="s">
        <v>416</v>
      </c>
      <c r="N28" s="34"/>
    </row>
    <row r="29" spans="1:14" ht="42.75" x14ac:dyDescent="0.45">
      <c r="A29" s="89">
        <f>HYPERLINK(Table14535410[[#This Row],[Image Path]],Table14535410[[#This Row],[Order by Date]])</f>
        <v>28</v>
      </c>
      <c r="B29" s="22" t="s">
        <v>20</v>
      </c>
      <c r="C29" s="42">
        <f t="shared" si="0"/>
        <v>28</v>
      </c>
      <c r="D29" s="21" t="str">
        <f>CONCATENATE("TORS_Documents\",Table14535410[[#This Row],[Instrument No.
San Jacinto]],".pdf")</f>
        <v>TORS_Documents\OGML-ElmoreFamilyPartners.pdf</v>
      </c>
      <c r="E29" s="42"/>
      <c r="F29" s="42"/>
      <c r="G29" s="8" t="s">
        <v>19</v>
      </c>
      <c r="H29" s="14" t="s">
        <v>21</v>
      </c>
      <c r="I29" s="14">
        <v>45967</v>
      </c>
      <c r="J29" s="22" t="s">
        <v>22</v>
      </c>
      <c r="K29" s="22" t="s">
        <v>23</v>
      </c>
      <c r="L29" s="22" t="s">
        <v>382</v>
      </c>
      <c r="M29" s="22" t="s">
        <v>378</v>
      </c>
      <c r="N29" s="34"/>
    </row>
    <row r="30" spans="1:14" ht="42.75" x14ac:dyDescent="0.45">
      <c r="A30" s="89">
        <f>HYPERLINK(Table14535410[[#This Row],[Image Path]],Table14535410[[#This Row],[Order by Date]])</f>
        <v>29</v>
      </c>
      <c r="B30" s="22" t="s">
        <v>20</v>
      </c>
      <c r="C30" s="42">
        <f t="shared" si="0"/>
        <v>29</v>
      </c>
      <c r="D30" s="21" t="str">
        <f>CONCATENATE("TORS_Documents\",Table14535410[[#This Row],[Instrument No.
San Jacinto]],".pdf")</f>
        <v>TORS_Documents\OGML-LCT-Trust.pdf</v>
      </c>
      <c r="E30" s="42"/>
      <c r="F30" s="42"/>
      <c r="G30" s="8" t="s">
        <v>24</v>
      </c>
      <c r="H30" s="14" t="s">
        <v>21</v>
      </c>
      <c r="I30" s="14">
        <v>45980</v>
      </c>
      <c r="J30" s="22" t="s">
        <v>15</v>
      </c>
      <c r="K30" s="22" t="s">
        <v>23</v>
      </c>
      <c r="L30" s="22" t="s">
        <v>381</v>
      </c>
      <c r="M30" s="22" t="s">
        <v>25</v>
      </c>
      <c r="N30" s="57"/>
    </row>
    <row r="31" spans="1:14" ht="42.75" x14ac:dyDescent="0.45">
      <c r="A31" s="89">
        <f>HYPERLINK(Table14535410[[#This Row],[Image Path]],Table14535410[[#This Row],[Order by Date]])</f>
        <v>30</v>
      </c>
      <c r="B31" s="22" t="s">
        <v>20</v>
      </c>
      <c r="C31" s="42">
        <f t="shared" si="0"/>
        <v>30</v>
      </c>
      <c r="D31" s="21" t="str">
        <f>CONCATENATE("TORS_Documents\",Table14535410[[#This Row],[Instrument No.
San Jacinto]],".pdf")</f>
        <v>TORS_Documents\OGML-Tyra_R.pdf</v>
      </c>
      <c r="E31" s="42"/>
      <c r="F31" s="42"/>
      <c r="G31" s="8" t="s">
        <v>27</v>
      </c>
      <c r="H31" s="14" t="s">
        <v>21</v>
      </c>
      <c r="I31" s="14">
        <v>45980</v>
      </c>
      <c r="J31" s="22" t="s">
        <v>327</v>
      </c>
      <c r="K31" s="22" t="s">
        <v>23</v>
      </c>
      <c r="L31" s="22" t="s">
        <v>381</v>
      </c>
      <c r="M31" s="22" t="s">
        <v>25</v>
      </c>
    </row>
    <row r="32" spans="1:14" ht="42.75" x14ac:dyDescent="0.45">
      <c r="A32" s="89">
        <f>HYPERLINK(Table14535410[[#This Row],[Image Path]],Table14535410[[#This Row],[Order by Date]])</f>
        <v>31</v>
      </c>
      <c r="B32" s="22" t="s">
        <v>20</v>
      </c>
      <c r="C32" s="42">
        <f t="shared" si="0"/>
        <v>31</v>
      </c>
      <c r="D32" s="21" t="str">
        <f>CONCATENATE("TORS_Documents\",Table14535410[[#This Row],[Instrument No.
San Jacinto]],".pdf")</f>
        <v>TORS_Documents\OGML_Mayo-Henson.pdf</v>
      </c>
      <c r="E32" s="42"/>
      <c r="F32" s="42"/>
      <c r="G32" s="8" t="s">
        <v>434</v>
      </c>
      <c r="H32" s="14" t="s">
        <v>21</v>
      </c>
      <c r="I32" s="14">
        <v>45994</v>
      </c>
      <c r="J32" s="22" t="s">
        <v>303</v>
      </c>
      <c r="K32" s="22" t="s">
        <v>23</v>
      </c>
      <c r="L32" s="22" t="s">
        <v>347</v>
      </c>
      <c r="M32" s="22" t="s">
        <v>416</v>
      </c>
    </row>
    <row r="33" spans="1:13" ht="28.5" x14ac:dyDescent="0.45">
      <c r="A33" s="89">
        <f>HYPERLINK(Table14535410[[#This Row],[Image Path]],Table14535410[[#This Row],[Order by Date]])</f>
        <v>32</v>
      </c>
      <c r="B33" s="22" t="s">
        <v>20</v>
      </c>
      <c r="C33" s="42">
        <f t="shared" si="0"/>
        <v>32</v>
      </c>
      <c r="D33" s="21" t="str">
        <f>CONCATENATE("TORS_Documents\",Table14535410[[#This Row],[Instrument No.
San Jacinto]],".pdf")</f>
        <v>TORS_Documents\OGML_Broussard.pdf</v>
      </c>
      <c r="E33" s="42"/>
      <c r="F33" s="42"/>
      <c r="G33" s="8" t="s">
        <v>435</v>
      </c>
      <c r="H33" s="14" t="s">
        <v>21</v>
      </c>
      <c r="I33" s="14">
        <v>45994</v>
      </c>
      <c r="J33" s="22" t="s">
        <v>304</v>
      </c>
      <c r="K33" s="22" t="s">
        <v>23</v>
      </c>
      <c r="L33" s="22" t="s">
        <v>348</v>
      </c>
      <c r="M33" s="22" t="s">
        <v>416</v>
      </c>
    </row>
    <row r="34" spans="1:13" ht="28.5" x14ac:dyDescent="0.45">
      <c r="A34" s="89">
        <f>HYPERLINK(Table14535410[[#This Row],[Image Path]],Table14535410[[#This Row],[Order by Date]])</f>
        <v>33</v>
      </c>
      <c r="B34" s="22" t="s">
        <v>20</v>
      </c>
      <c r="C34" s="42">
        <f t="shared" si="0"/>
        <v>33</v>
      </c>
      <c r="D34" s="21" t="str">
        <f>CONCATENATE("TORS_Documents\",Table14535410[[#This Row],[Instrument No.
San Jacinto]],".pdf")</f>
        <v>TORS_Documents\OGML_Deloach.pdf</v>
      </c>
      <c r="E34" s="42"/>
      <c r="F34" s="42"/>
      <c r="G34" s="8" t="s">
        <v>436</v>
      </c>
      <c r="H34" s="14" t="s">
        <v>21</v>
      </c>
      <c r="I34" s="14">
        <v>45994</v>
      </c>
      <c r="J34" s="22" t="s">
        <v>305</v>
      </c>
      <c r="K34" s="22" t="s">
        <v>23</v>
      </c>
      <c r="L34" s="22" t="s">
        <v>347</v>
      </c>
      <c r="M34" s="22" t="s">
        <v>416</v>
      </c>
    </row>
    <row r="35" spans="1:13" ht="28.5" x14ac:dyDescent="0.45">
      <c r="A35" s="89">
        <f>HYPERLINK(Table14535410[[#This Row],[Image Path]],Table14535410[[#This Row],[Order by Date]])</f>
        <v>34</v>
      </c>
      <c r="B35" s="22" t="s">
        <v>20</v>
      </c>
      <c r="C35" s="42">
        <f t="shared" si="0"/>
        <v>34</v>
      </c>
      <c r="D35" s="21" t="str">
        <f>CONCATENATE("TORS_Documents\",Table14535410[[#This Row],[Instrument No.
San Jacinto]],".pdf")</f>
        <v>TORS_Documents\OGML_Old_Hickory_Hill.pdf</v>
      </c>
      <c r="E35" s="85"/>
      <c r="F35" s="85"/>
      <c r="G35" s="171" t="s">
        <v>437</v>
      </c>
      <c r="H35" s="172" t="s">
        <v>21</v>
      </c>
      <c r="I35" s="172">
        <v>45994</v>
      </c>
      <c r="J35" s="84" t="s">
        <v>306</v>
      </c>
      <c r="K35" s="84" t="s">
        <v>23</v>
      </c>
      <c r="L35" s="84" t="s">
        <v>350</v>
      </c>
      <c r="M35" s="22" t="s">
        <v>416</v>
      </c>
    </row>
    <row r="36" spans="1:13" ht="28.5" x14ac:dyDescent="0.45">
      <c r="A36" s="90">
        <f>HYPERLINK(Table14535410[[#This Row],[Image Path]],Table14535410[[#This Row],[Order by Date]])</f>
        <v>35</v>
      </c>
      <c r="B36" s="22" t="s">
        <v>20</v>
      </c>
      <c r="C36" s="42">
        <f t="shared" si="0"/>
        <v>35</v>
      </c>
      <c r="D36" s="21" t="str">
        <f>CONCATENATE("TORS_Documents\",Table14535410[[#This Row],[Instrument No.
San Jacinto]],".pdf")</f>
        <v>TORS_Documents\OGML_McRorie.pdf</v>
      </c>
      <c r="E36" s="182"/>
      <c r="F36" s="182"/>
      <c r="G36" s="181" t="s">
        <v>676</v>
      </c>
      <c r="H36" s="172" t="s">
        <v>21</v>
      </c>
      <c r="I36" s="172">
        <v>45994</v>
      </c>
      <c r="J36" s="181" t="s">
        <v>677</v>
      </c>
      <c r="K36" s="84" t="s">
        <v>23</v>
      </c>
      <c r="L36" s="22" t="s">
        <v>678</v>
      </c>
      <c r="M36" s="22" t="s">
        <v>416</v>
      </c>
    </row>
    <row r="37" spans="1:13" ht="28.5" x14ac:dyDescent="0.45">
      <c r="A37" s="90">
        <f>HYPERLINK(Table14535410[[#This Row],[Image Path]],Table14535410[[#This Row],[Order by Date]])</f>
        <v>36</v>
      </c>
      <c r="B37" s="22" t="s">
        <v>20</v>
      </c>
      <c r="C37" s="42">
        <f t="shared" si="0"/>
        <v>36</v>
      </c>
      <c r="D37" s="21" t="str">
        <f>CONCATENATE("TORS_Documents\",Table14535410[[#This Row],[Instrument No.
San Jacinto]],".pdf")</f>
        <v>TORS_Documents\OGML_Edwards.pdf</v>
      </c>
      <c r="E37" s="182"/>
      <c r="F37" s="182"/>
      <c r="G37" s="181" t="s">
        <v>679</v>
      </c>
      <c r="H37" s="172" t="s">
        <v>21</v>
      </c>
      <c r="I37" s="172">
        <v>45994</v>
      </c>
      <c r="J37" s="181" t="s">
        <v>680</v>
      </c>
      <c r="K37" s="84" t="s">
        <v>23</v>
      </c>
      <c r="L37" s="22" t="s">
        <v>681</v>
      </c>
      <c r="M37" s="22" t="s">
        <v>416</v>
      </c>
    </row>
    <row r="38" spans="1:13" ht="28.5" x14ac:dyDescent="0.45">
      <c r="A38" s="89">
        <f>HYPERLINK(Table14535410[[#This Row],[Image Path]],Table14535410[[#This Row],[Order by Date]])</f>
        <v>37</v>
      </c>
      <c r="B38" s="22" t="s">
        <v>20</v>
      </c>
      <c r="C38" s="42">
        <f t="shared" si="0"/>
        <v>37</v>
      </c>
      <c r="D38" s="21" t="str">
        <f>CONCATENATE("TORS_Documents\",Table14535410[[#This Row],[Instrument No.
San Jacinto]],".pdf")</f>
        <v>TORS_Documents\OGML_Kraft.pdf</v>
      </c>
      <c r="E38" s="42"/>
      <c r="F38" s="42"/>
      <c r="G38" s="8" t="s">
        <v>293</v>
      </c>
      <c r="H38" s="14" t="s">
        <v>21</v>
      </c>
      <c r="I38" s="14">
        <v>46001</v>
      </c>
      <c r="J38" s="22" t="s">
        <v>414</v>
      </c>
      <c r="K38" s="22" t="s">
        <v>23</v>
      </c>
      <c r="L38" s="22" t="s">
        <v>345</v>
      </c>
      <c r="M38" s="22" t="s">
        <v>416</v>
      </c>
    </row>
    <row r="39" spans="1:13" ht="71.25" x14ac:dyDescent="0.45">
      <c r="A39" s="89">
        <f>HYPERLINK(Table14535410[[#This Row],[Image Path]],Table14535410[[#This Row],[Order by Date]])</f>
        <v>38</v>
      </c>
      <c r="B39" s="22" t="s">
        <v>20</v>
      </c>
      <c r="C39" s="42">
        <f t="shared" si="0"/>
        <v>38</v>
      </c>
      <c r="D39" s="21" t="str">
        <f>CONCATENATE("TORS_Documents\",Table14535410[[#This Row],[Instrument No.
San Jacinto]],".pdf")</f>
        <v>TORS_Documents\OGML_Harman_Donald.pdf</v>
      </c>
      <c r="E39" s="85"/>
      <c r="F39" s="85"/>
      <c r="G39" s="173" t="s">
        <v>294</v>
      </c>
      <c r="H39" s="172" t="s">
        <v>21</v>
      </c>
      <c r="I39" s="172">
        <v>46003</v>
      </c>
      <c r="J39" s="84" t="s">
        <v>296</v>
      </c>
      <c r="K39" s="84" t="s">
        <v>23</v>
      </c>
      <c r="L39" s="84" t="s">
        <v>349</v>
      </c>
      <c r="M39" s="22" t="s">
        <v>417</v>
      </c>
    </row>
    <row r="40" spans="1:13" s="38" customFormat="1" ht="71.25" x14ac:dyDescent="0.45">
      <c r="A40" s="89">
        <f>HYPERLINK(Table14535410[[#This Row],[Image Path]],Table14535410[[#This Row],[Order by Date]])</f>
        <v>39</v>
      </c>
      <c r="B40" s="22" t="s">
        <v>20</v>
      </c>
      <c r="C40" s="42">
        <f t="shared" si="0"/>
        <v>39</v>
      </c>
      <c r="D40" s="21" t="str">
        <f>CONCATENATE("TORS_Documents\",Table14535410[[#This Row],[Instrument No.
San Jacinto]],".pdf")</f>
        <v>TORS_Documents\OGML_Harman_Claude.pdf</v>
      </c>
      <c r="E40" s="85"/>
      <c r="F40" s="85"/>
      <c r="G40" s="173" t="s">
        <v>284</v>
      </c>
      <c r="H40" s="172" t="s">
        <v>21</v>
      </c>
      <c r="I40" s="172">
        <v>46003</v>
      </c>
      <c r="J40" s="84" t="s">
        <v>295</v>
      </c>
      <c r="K40" s="84" t="s">
        <v>23</v>
      </c>
      <c r="L40" s="84" t="s">
        <v>349</v>
      </c>
      <c r="M40" s="22" t="s">
        <v>417</v>
      </c>
    </row>
    <row r="41" spans="1:13" ht="28.5" x14ac:dyDescent="0.45">
      <c r="A41" s="89">
        <f>HYPERLINK(Table14535410[[#This Row],[Image Path]],Table14535410[[#This Row],[Order by Date]])</f>
        <v>40</v>
      </c>
      <c r="B41" s="22" t="s">
        <v>438</v>
      </c>
      <c r="C41" s="42">
        <f t="shared" si="0"/>
        <v>40</v>
      </c>
      <c r="D41" s="21" t="str">
        <f>CONCATENATE("TORS_Documents\",Table14535410[[#This Row],[Instrument No.
San Jacinto]],".pdf")</f>
        <v>TORS_Documents\ProposedDrElmore1_Unit.pdf</v>
      </c>
      <c r="E41" s="85"/>
      <c r="F41" s="85"/>
      <c r="G41" s="174" t="s">
        <v>439</v>
      </c>
      <c r="H41" s="172" t="s">
        <v>21</v>
      </c>
      <c r="I41" s="175" t="s">
        <v>446</v>
      </c>
      <c r="J41" s="87" t="s">
        <v>445</v>
      </c>
      <c r="K41" s="87" t="s">
        <v>34</v>
      </c>
      <c r="L41" s="87" t="s">
        <v>448</v>
      </c>
      <c r="M41" s="87" t="s">
        <v>447</v>
      </c>
    </row>
    <row r="42" spans="1:13" x14ac:dyDescent="0.45">
      <c r="A42" s="90"/>
      <c r="B42" s="22"/>
      <c r="C42" s="42"/>
      <c r="D42" s="42"/>
      <c r="E42" s="42"/>
      <c r="F42" s="42"/>
      <c r="G42" s="22"/>
      <c r="H42" s="43"/>
      <c r="I42" s="43"/>
      <c r="J42" s="22"/>
      <c r="K42" s="22"/>
      <c r="L42" s="22"/>
      <c r="M42" s="22"/>
    </row>
    <row r="43" spans="1:13" x14ac:dyDescent="0.45">
      <c r="A43" s="90"/>
      <c r="B43" s="22"/>
      <c r="C43" s="42"/>
      <c r="D43" s="42"/>
      <c r="E43" s="42"/>
      <c r="F43" s="42"/>
      <c r="G43" s="22"/>
      <c r="H43" s="43"/>
      <c r="I43" s="43"/>
      <c r="J43" s="22"/>
      <c r="K43" s="22"/>
      <c r="L43" s="22"/>
      <c r="M43" s="22"/>
    </row>
    <row r="44" spans="1:13" x14ac:dyDescent="0.45">
      <c r="A44" s="90"/>
      <c r="B44" s="22"/>
      <c r="C44" s="42"/>
      <c r="D44" s="42"/>
      <c r="E44" s="42"/>
      <c r="F44" s="42"/>
      <c r="G44" s="22"/>
      <c r="H44" s="43"/>
      <c r="I44" s="43"/>
      <c r="J44" s="22"/>
      <c r="K44" s="22"/>
      <c r="L44" s="22"/>
      <c r="M44" s="22"/>
    </row>
    <row r="45" spans="1:13" x14ac:dyDescent="0.45">
      <c r="A45" s="91"/>
      <c r="B45" s="22"/>
      <c r="C45" s="48"/>
      <c r="D45" s="48"/>
      <c r="E45" s="48"/>
      <c r="F45" s="48"/>
      <c r="G45" s="47"/>
      <c r="H45" s="49"/>
      <c r="I45" s="49"/>
      <c r="J45" s="47"/>
      <c r="K45" s="47"/>
      <c r="L45" s="47"/>
      <c r="M45" s="47"/>
    </row>
    <row r="46" spans="1:13" x14ac:dyDescent="0.45">
      <c r="A46" s="4"/>
      <c r="B46" s="17"/>
      <c r="C46" s="18"/>
      <c r="D46" s="17"/>
      <c r="E46" s="18"/>
      <c r="F46" s="18"/>
      <c r="G46" s="18"/>
      <c r="H46" s="19"/>
      <c r="I46" s="20"/>
      <c r="J46" s="18"/>
      <c r="K46" s="17"/>
      <c r="L46" s="17"/>
      <c r="M46" s="17"/>
    </row>
    <row r="47" spans="1:13" x14ac:dyDescent="0.45">
      <c r="A47" s="4"/>
      <c r="B47" s="17"/>
      <c r="C47" s="18"/>
      <c r="D47" s="17"/>
      <c r="E47" s="18"/>
      <c r="F47" s="18"/>
      <c r="G47" s="18"/>
      <c r="H47" s="19"/>
      <c r="I47" s="20"/>
      <c r="J47" s="18"/>
      <c r="K47" s="17"/>
      <c r="L47" s="17"/>
      <c r="M47" s="17"/>
    </row>
    <row r="48" spans="1:13" x14ac:dyDescent="0.45">
      <c r="A48" s="4"/>
      <c r="B48" s="17"/>
      <c r="C48" s="18"/>
      <c r="D48" s="17"/>
      <c r="E48" s="18"/>
      <c r="F48" s="18"/>
      <c r="G48" s="18"/>
      <c r="H48" s="19"/>
      <c r="I48" s="20"/>
      <c r="J48" s="18"/>
      <c r="K48" s="17"/>
      <c r="L48" s="17"/>
      <c r="M48" s="17"/>
    </row>
    <row r="49" spans="1:13" x14ac:dyDescent="0.45">
      <c r="A49" s="4"/>
      <c r="B49" s="17"/>
      <c r="C49" s="18"/>
      <c r="D49" s="17"/>
      <c r="E49" s="18"/>
      <c r="F49" s="18"/>
      <c r="G49" s="18"/>
      <c r="H49" s="19"/>
      <c r="I49" s="20"/>
      <c r="J49" s="18"/>
      <c r="K49" s="17"/>
      <c r="L49" s="17"/>
      <c r="M49" s="17"/>
    </row>
    <row r="50" spans="1:13" x14ac:dyDescent="0.45">
      <c r="A50" s="4"/>
      <c r="B50" s="17"/>
      <c r="C50" s="18"/>
      <c r="D50" s="17"/>
      <c r="E50" s="18"/>
      <c r="F50" s="18"/>
      <c r="G50" s="18"/>
      <c r="H50" s="19"/>
      <c r="I50" s="20"/>
      <c r="J50" s="18"/>
      <c r="K50" s="17"/>
      <c r="L50" s="17"/>
      <c r="M50" s="17"/>
    </row>
    <row r="51" spans="1:13" x14ac:dyDescent="0.45">
      <c r="A51" s="4"/>
      <c r="B51" s="17"/>
      <c r="C51" s="18"/>
      <c r="D51" s="17"/>
      <c r="E51" s="18"/>
      <c r="F51" s="18"/>
      <c r="G51" s="18"/>
      <c r="H51" s="19"/>
      <c r="I51" s="20"/>
      <c r="J51" s="18"/>
      <c r="K51" s="17"/>
      <c r="L51" s="17"/>
      <c r="M51" s="17"/>
    </row>
    <row r="52" spans="1:13" x14ac:dyDescent="0.45">
      <c r="A52" s="4"/>
      <c r="B52" s="17"/>
      <c r="C52" s="18"/>
      <c r="D52" s="17"/>
      <c r="E52" s="18"/>
      <c r="F52" s="18"/>
      <c r="G52" s="18"/>
      <c r="H52" s="19"/>
      <c r="I52" s="20"/>
      <c r="J52" s="18"/>
      <c r="K52" s="17"/>
      <c r="L52" s="17"/>
      <c r="M52" s="17"/>
    </row>
    <row r="53" spans="1:13" x14ac:dyDescent="0.45">
      <c r="A53" s="4"/>
      <c r="B53" s="17"/>
      <c r="C53" s="18"/>
      <c r="D53" s="17"/>
      <c r="E53" s="18"/>
      <c r="F53" s="18"/>
      <c r="G53" s="18"/>
      <c r="H53" s="19"/>
      <c r="I53" s="20"/>
      <c r="J53" s="18"/>
      <c r="K53" s="17" t="s">
        <v>440</v>
      </c>
      <c r="L53" s="17"/>
      <c r="M53" s="17"/>
    </row>
    <row r="54" spans="1:13" x14ac:dyDescent="0.45">
      <c r="A54" s="4"/>
      <c r="B54" s="17"/>
      <c r="C54" s="18"/>
      <c r="D54" s="17"/>
      <c r="E54" s="18"/>
      <c r="F54" s="18"/>
      <c r="G54" s="18"/>
      <c r="H54" s="19"/>
      <c r="I54" s="20"/>
      <c r="J54" s="18"/>
      <c r="K54" s="17"/>
      <c r="L54" s="17"/>
      <c r="M54" s="17"/>
    </row>
    <row r="55" spans="1:13" x14ac:dyDescent="0.45">
      <c r="A55" s="4"/>
      <c r="B55" s="17"/>
      <c r="C55" s="18"/>
      <c r="D55" s="17"/>
      <c r="E55" s="18"/>
      <c r="F55" s="18"/>
      <c r="G55" s="18"/>
      <c r="H55" s="19"/>
      <c r="I55" s="20"/>
      <c r="J55" s="18"/>
      <c r="K55" s="17"/>
      <c r="L55" s="17"/>
      <c r="M55" s="17"/>
    </row>
    <row r="56" spans="1:13" x14ac:dyDescent="0.45">
      <c r="A56" s="4"/>
      <c r="B56" s="17"/>
      <c r="C56" s="18"/>
      <c r="D56" s="17"/>
      <c r="E56" s="18"/>
      <c r="F56" s="18"/>
      <c r="G56" s="18"/>
      <c r="H56" s="19"/>
      <c r="I56" s="20"/>
      <c r="J56" s="18"/>
      <c r="K56" s="17"/>
      <c r="L56" s="17"/>
      <c r="M56" s="17"/>
    </row>
    <row r="57" spans="1:13" x14ac:dyDescent="0.45">
      <c r="A57" s="4"/>
      <c r="B57" s="17"/>
      <c r="C57" s="18"/>
      <c r="D57" s="17"/>
      <c r="E57" s="18"/>
      <c r="F57" s="18"/>
      <c r="G57" s="18"/>
      <c r="H57" s="19"/>
      <c r="I57" s="20"/>
      <c r="J57" s="18"/>
      <c r="K57" s="17"/>
      <c r="L57" s="17"/>
      <c r="M57" s="17"/>
    </row>
    <row r="58" spans="1:13" x14ac:dyDescent="0.45">
      <c r="A58" s="4"/>
      <c r="B58" s="17"/>
      <c r="C58" s="18"/>
      <c r="D58" s="17"/>
      <c r="E58" s="18"/>
      <c r="F58" s="18"/>
      <c r="G58" s="18"/>
      <c r="H58" s="19"/>
      <c r="I58" s="20"/>
      <c r="J58" s="18"/>
      <c r="K58" s="17"/>
      <c r="L58" s="17"/>
      <c r="M58" s="17"/>
    </row>
    <row r="59" spans="1:13" x14ac:dyDescent="0.45">
      <c r="A59" s="4"/>
      <c r="B59" s="17"/>
      <c r="C59" s="18"/>
      <c r="D59" s="17"/>
      <c r="E59" s="18"/>
      <c r="F59" s="18"/>
      <c r="G59" s="18"/>
      <c r="H59" s="19"/>
      <c r="I59" s="20"/>
      <c r="J59" s="18"/>
      <c r="K59" s="17"/>
      <c r="L59" s="17"/>
      <c r="M59" s="17"/>
    </row>
    <row r="60" spans="1:13" x14ac:dyDescent="0.45">
      <c r="A60" s="4"/>
      <c r="B60" s="17"/>
      <c r="C60" s="18"/>
      <c r="D60" s="17"/>
      <c r="E60" s="18"/>
      <c r="F60" s="18"/>
      <c r="G60" s="18"/>
      <c r="H60" s="19"/>
      <c r="I60" s="20"/>
      <c r="J60" s="18"/>
      <c r="K60" s="17"/>
      <c r="L60" s="17"/>
      <c r="M60" s="17"/>
    </row>
    <row r="61" spans="1:13" x14ac:dyDescent="0.45">
      <c r="A61" s="4"/>
      <c r="B61" s="17"/>
      <c r="C61" s="18"/>
      <c r="D61" s="17"/>
      <c r="E61" s="18"/>
      <c r="F61" s="18"/>
      <c r="G61" s="18"/>
      <c r="H61" s="19"/>
      <c r="I61" s="20"/>
      <c r="J61" s="18"/>
      <c r="K61" s="17"/>
      <c r="L61" s="17"/>
      <c r="M61" s="17"/>
    </row>
    <row r="62" spans="1:13" x14ac:dyDescent="0.45">
      <c r="A62" s="4"/>
      <c r="B62" s="17"/>
      <c r="C62" s="18"/>
      <c r="D62" s="17"/>
      <c r="E62" s="18"/>
      <c r="F62" s="18"/>
      <c r="G62" s="18"/>
      <c r="H62" s="19"/>
      <c r="I62" s="20"/>
      <c r="J62" s="18"/>
      <c r="K62" s="17"/>
      <c r="L62" s="17"/>
      <c r="M62" s="17"/>
    </row>
  </sheetData>
  <phoneticPr fontId="3" type="noConversion"/>
  <pageMargins left="0.5" right="0.5" top="1" bottom="0.75" header="0.3" footer="0.3"/>
  <pageSetup paperSize="5" scale="49" fitToHeight="0" orientation="landscape" horizontalDpi="1200" verticalDpi="1200" r:id="rId1"/>
  <headerFooter>
    <oddHeader>&amp;LLeashold Title&amp;C&amp;"Calibri,Bold"&amp;16Arcadia Operating, LLC - Dr. Elmore #1 Unit Division Order Title Opinion Runsheet
276.12 acres, Vital Flores Survey, A-14 and Thomas Webb Survey, A-300, San Jacinto County Texas
Magnolia Petroleum Company, LLC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098A-088A-0B4D-9642-87C29EF94FF2}">
  <sheetPr>
    <pageSetUpPr fitToPage="1"/>
  </sheetPr>
  <dimension ref="A1:N49"/>
  <sheetViews>
    <sheetView topLeftCell="A14" zoomScale="90" zoomScaleNormal="90" workbookViewId="0">
      <selection activeCell="L16" sqref="L16"/>
    </sheetView>
  </sheetViews>
  <sheetFormatPr defaultColWidth="8.796875" defaultRowHeight="14.25" x14ac:dyDescent="0.45"/>
  <cols>
    <col min="1" max="1" width="15.33203125" style="4" customWidth="1"/>
    <col min="2" max="2" width="14" style="17" customWidth="1"/>
    <col min="3" max="3" width="8.46484375" style="18" hidden="1" customWidth="1"/>
    <col min="4" max="4" width="42.59765625" style="17" hidden="1" customWidth="1"/>
    <col min="5" max="5" width="6.796875" style="18" hidden="1" customWidth="1"/>
    <col min="6" max="6" width="7" style="18" hidden="1" customWidth="1"/>
    <col min="7" max="7" width="12.33203125" style="18" customWidth="1"/>
    <col min="8" max="8" width="13.33203125" style="19" customWidth="1"/>
    <col min="9" max="9" width="11.46484375" style="20" customWidth="1"/>
    <col min="10" max="10" width="42.46484375" style="18" customWidth="1"/>
    <col min="11" max="11" width="33" style="17" customWidth="1"/>
    <col min="12" max="12" width="52.796875" style="17" customWidth="1"/>
    <col min="13" max="13" width="55.33203125" style="17" customWidth="1"/>
    <col min="14" max="14" width="15.46484375" style="17" customWidth="1"/>
    <col min="15" max="16384" width="8.796875" style="17"/>
  </cols>
  <sheetData>
    <row r="1" spans="1:14" ht="58.5" customHeight="1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476</v>
      </c>
    </row>
    <row r="2" spans="1:14" ht="71.25" x14ac:dyDescent="0.45">
      <c r="A2" s="98" t="str">
        <f>HYPERLINK(Table1453541013[[#This Row],[Image Path]],Table1453541013[[#This Row],[Order by Date]])</f>
        <v>1</v>
      </c>
      <c r="B2" s="71" t="s">
        <v>29</v>
      </c>
      <c r="C2" s="74" t="s">
        <v>67</v>
      </c>
      <c r="D2" s="94" t="str">
        <f>CONCATENATE("TORS_Documents\",Table1453541013[[#This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93" t="s">
        <v>31</v>
      </c>
      <c r="K2" s="71" t="s">
        <v>32</v>
      </c>
      <c r="L2" s="71" t="s">
        <v>478</v>
      </c>
      <c r="M2" s="71" t="s">
        <v>454</v>
      </c>
      <c r="N2" s="29"/>
    </row>
    <row r="3" spans="1:14" x14ac:dyDescent="0.45">
      <c r="A3" s="5"/>
      <c r="B3" s="7"/>
      <c r="C3" s="12"/>
      <c r="D3" s="16"/>
      <c r="E3" s="13"/>
      <c r="F3" s="13"/>
      <c r="G3" s="8"/>
      <c r="H3" s="14"/>
      <c r="I3" s="14"/>
      <c r="J3" s="23" t="s">
        <v>82</v>
      </c>
      <c r="K3" s="7"/>
      <c r="L3" s="7"/>
      <c r="M3" s="7" t="s">
        <v>308</v>
      </c>
      <c r="N3" s="108">
        <v>1.5625000000000001E-3</v>
      </c>
    </row>
    <row r="4" spans="1:14" ht="28.5" x14ac:dyDescent="0.45">
      <c r="A4" s="5"/>
      <c r="B4" s="7"/>
      <c r="C4" s="12"/>
      <c r="D4" s="16"/>
      <c r="E4" s="13"/>
      <c r="F4" s="13"/>
      <c r="G4" s="8"/>
      <c r="H4" s="14"/>
      <c r="I4" s="14"/>
      <c r="J4" s="23" t="s">
        <v>83</v>
      </c>
      <c r="K4" s="7"/>
      <c r="L4" s="7"/>
      <c r="M4" s="7" t="s">
        <v>309</v>
      </c>
      <c r="N4" s="108">
        <v>3.6562999999999998E-4</v>
      </c>
    </row>
    <row r="5" spans="1:14" ht="28.5" x14ac:dyDescent="0.45">
      <c r="A5" s="5"/>
      <c r="B5" s="7"/>
      <c r="C5" s="12"/>
      <c r="D5" s="16"/>
      <c r="E5" s="13"/>
      <c r="F5" s="13"/>
      <c r="G5" s="8"/>
      <c r="H5" s="14"/>
      <c r="I5" s="14"/>
      <c r="J5" s="23" t="s">
        <v>94</v>
      </c>
      <c r="K5" s="7"/>
      <c r="L5" s="7"/>
      <c r="M5" s="7" t="s">
        <v>309</v>
      </c>
      <c r="N5" s="108">
        <v>3.6562999999999998E-4</v>
      </c>
    </row>
    <row r="6" spans="1:14" ht="28.5" x14ac:dyDescent="0.45">
      <c r="A6" s="5"/>
      <c r="B6" s="7"/>
      <c r="C6" s="12"/>
      <c r="D6" s="16"/>
      <c r="E6" s="13"/>
      <c r="F6" s="13"/>
      <c r="G6" s="8"/>
      <c r="H6" s="14"/>
      <c r="I6" s="14"/>
      <c r="J6" s="23" t="s">
        <v>84</v>
      </c>
      <c r="K6" s="7"/>
      <c r="L6" s="7"/>
      <c r="M6" s="7" t="s">
        <v>309</v>
      </c>
      <c r="N6" s="108">
        <v>3.6562999999999998E-4</v>
      </c>
    </row>
    <row r="7" spans="1:14" ht="28.5" x14ac:dyDescent="0.45">
      <c r="A7" s="5"/>
      <c r="B7" s="7"/>
      <c r="C7" s="12"/>
      <c r="D7" s="16"/>
      <c r="E7" s="13"/>
      <c r="F7" s="13"/>
      <c r="G7" s="8"/>
      <c r="H7" s="14"/>
      <c r="I7" s="14"/>
      <c r="J7" s="23" t="s">
        <v>85</v>
      </c>
      <c r="K7" s="7"/>
      <c r="L7" s="7"/>
      <c r="M7" s="7" t="s">
        <v>309</v>
      </c>
      <c r="N7" s="108">
        <v>3.6562999999999998E-4</v>
      </c>
    </row>
    <row r="8" spans="1:14" ht="28.5" x14ac:dyDescent="0.45">
      <c r="A8" s="5"/>
      <c r="B8" s="7"/>
      <c r="C8" s="12"/>
      <c r="D8" s="16"/>
      <c r="E8" s="13"/>
      <c r="F8" s="13"/>
      <c r="G8" s="8"/>
      <c r="H8" s="14"/>
      <c r="I8" s="14"/>
      <c r="J8" s="23" t="s">
        <v>86</v>
      </c>
      <c r="K8" s="7"/>
      <c r="L8" s="7"/>
      <c r="M8" s="7" t="s">
        <v>310</v>
      </c>
      <c r="N8" s="108">
        <v>2.19375E-3</v>
      </c>
    </row>
    <row r="9" spans="1:14" ht="28.5" x14ac:dyDescent="0.45">
      <c r="A9" s="5"/>
      <c r="B9" s="7"/>
      <c r="C9" s="12"/>
      <c r="D9" s="16"/>
      <c r="E9" s="13"/>
      <c r="F9" s="13"/>
      <c r="G9" s="8"/>
      <c r="H9" s="14"/>
      <c r="I9" s="14"/>
      <c r="J9" s="23" t="s">
        <v>87</v>
      </c>
      <c r="K9" s="7"/>
      <c r="L9" s="7"/>
      <c r="M9" s="7" t="s">
        <v>311</v>
      </c>
      <c r="N9" s="108">
        <v>6.7500000000000004E-4</v>
      </c>
    </row>
    <row r="10" spans="1:14" x14ac:dyDescent="0.45">
      <c r="A10" s="5"/>
      <c r="B10" s="7"/>
      <c r="C10" s="12"/>
      <c r="D10" s="16"/>
      <c r="E10" s="13"/>
      <c r="F10" s="13"/>
      <c r="G10" s="8"/>
      <c r="H10" s="14"/>
      <c r="I10" s="14"/>
      <c r="J10" s="23" t="s">
        <v>88</v>
      </c>
      <c r="K10" s="7"/>
      <c r="L10" s="7"/>
      <c r="M10" s="7" t="s">
        <v>451</v>
      </c>
      <c r="N10" s="108">
        <v>6.7500000000000004E-4</v>
      </c>
    </row>
    <row r="11" spans="1:14" ht="28.5" x14ac:dyDescent="0.45">
      <c r="A11" s="5"/>
      <c r="B11" s="7"/>
      <c r="C11" s="12"/>
      <c r="D11" s="21"/>
      <c r="E11" s="13"/>
      <c r="F11" s="13"/>
      <c r="G11" s="8"/>
      <c r="H11" s="14"/>
      <c r="I11" s="14"/>
      <c r="J11" s="23" t="s">
        <v>89</v>
      </c>
      <c r="K11" s="7"/>
      <c r="L11" s="7"/>
      <c r="M11" s="7" t="s">
        <v>311</v>
      </c>
      <c r="N11" s="108">
        <v>6.7500000000000004E-4</v>
      </c>
    </row>
    <row r="12" spans="1:14" ht="28.5" x14ac:dyDescent="0.45">
      <c r="A12" s="5"/>
      <c r="B12" s="7"/>
      <c r="C12" s="12"/>
      <c r="D12" s="21"/>
      <c r="E12" s="13"/>
      <c r="F12" s="13"/>
      <c r="G12" s="8"/>
      <c r="H12" s="14"/>
      <c r="I12" s="14"/>
      <c r="J12" s="23" t="s">
        <v>93</v>
      </c>
      <c r="K12" s="24"/>
      <c r="L12" s="7"/>
      <c r="M12" s="7" t="s">
        <v>311</v>
      </c>
      <c r="N12" s="108">
        <v>6.7500000000000004E-4</v>
      </c>
    </row>
    <row r="13" spans="1:14" ht="28.5" x14ac:dyDescent="0.45">
      <c r="A13" s="5"/>
      <c r="B13" s="7"/>
      <c r="C13" s="12"/>
      <c r="D13" s="21"/>
      <c r="E13" s="13"/>
      <c r="F13" s="13"/>
      <c r="G13" s="8"/>
      <c r="H13" s="14"/>
      <c r="I13" s="14"/>
      <c r="J13" s="23" t="s">
        <v>90</v>
      </c>
      <c r="K13" s="24"/>
      <c r="L13" s="7"/>
      <c r="M13" s="7" t="s">
        <v>311</v>
      </c>
      <c r="N13" s="108">
        <v>6.7500000000000004E-4</v>
      </c>
    </row>
    <row r="14" spans="1:14" ht="28.5" x14ac:dyDescent="0.45">
      <c r="A14" s="5"/>
      <c r="B14" s="7"/>
      <c r="C14" s="12"/>
      <c r="D14" s="21"/>
      <c r="E14" s="13"/>
      <c r="F14" s="13"/>
      <c r="G14" s="8"/>
      <c r="H14" s="14"/>
      <c r="I14" s="14"/>
      <c r="J14" s="23" t="s">
        <v>91</v>
      </c>
      <c r="K14" s="24"/>
      <c r="L14" s="7"/>
      <c r="M14" s="21" t="s">
        <v>312</v>
      </c>
      <c r="N14" s="108">
        <v>2.8124999999999999E-3</v>
      </c>
    </row>
    <row r="15" spans="1:14" ht="28.5" x14ac:dyDescent="0.45">
      <c r="A15" s="5"/>
      <c r="B15" s="7"/>
      <c r="C15" s="12"/>
      <c r="D15" s="21"/>
      <c r="E15" s="13"/>
      <c r="F15" s="13"/>
      <c r="G15" s="8"/>
      <c r="H15" s="14"/>
      <c r="I15" s="14"/>
      <c r="J15" s="23" t="s">
        <v>92</v>
      </c>
      <c r="K15" s="24"/>
      <c r="L15" s="7"/>
      <c r="M15" s="21" t="s">
        <v>450</v>
      </c>
      <c r="N15" s="108">
        <v>1.06875E-3</v>
      </c>
    </row>
    <row r="16" spans="1:14" ht="42.75" x14ac:dyDescent="0.45">
      <c r="A16" s="5"/>
      <c r="B16" s="7"/>
      <c r="C16" s="12"/>
      <c r="D16" s="16"/>
      <c r="E16" s="13"/>
      <c r="F16" s="13"/>
      <c r="G16" s="8"/>
      <c r="H16" s="14"/>
      <c r="I16" s="14"/>
      <c r="J16" s="23" t="s">
        <v>95</v>
      </c>
      <c r="K16" s="24"/>
      <c r="L16" s="7"/>
      <c r="M16" s="21" t="s">
        <v>313</v>
      </c>
      <c r="N16" s="108">
        <v>8.5218999999999996E-4</v>
      </c>
    </row>
    <row r="17" spans="1:14" s="24" customFormat="1" x14ac:dyDescent="0.45">
      <c r="A17" s="5"/>
      <c r="B17" s="7"/>
      <c r="C17" s="12"/>
      <c r="D17" s="16"/>
      <c r="E17" s="13"/>
      <c r="F17" s="13"/>
      <c r="G17" s="8"/>
      <c r="H17" s="14"/>
      <c r="I17" s="14"/>
      <c r="J17" s="23" t="s">
        <v>96</v>
      </c>
      <c r="L17" s="7"/>
      <c r="M17" s="21" t="s">
        <v>452</v>
      </c>
      <c r="N17" s="108">
        <v>4.3172000000000002E-4</v>
      </c>
    </row>
    <row r="18" spans="1:14" ht="28.5" x14ac:dyDescent="0.45">
      <c r="A18" s="5"/>
      <c r="B18" s="7"/>
      <c r="C18" s="12"/>
      <c r="D18" s="16"/>
      <c r="E18" s="13"/>
      <c r="F18" s="13"/>
      <c r="G18" s="8"/>
      <c r="H18" s="14"/>
      <c r="I18" s="14"/>
      <c r="J18" s="23" t="s">
        <v>97</v>
      </c>
      <c r="K18" s="24"/>
      <c r="L18" s="7"/>
      <c r="M18" s="21" t="s">
        <v>314</v>
      </c>
      <c r="N18" s="108">
        <v>4.3172000000000002E-4</v>
      </c>
    </row>
    <row r="19" spans="1:14" ht="28.5" x14ac:dyDescent="0.45">
      <c r="A19" s="5"/>
      <c r="B19" s="7"/>
      <c r="C19" s="12"/>
      <c r="D19" s="16"/>
      <c r="E19" s="13"/>
      <c r="F19" s="13"/>
      <c r="G19" s="8"/>
      <c r="H19" s="14"/>
      <c r="I19" s="14"/>
      <c r="J19" s="23" t="s">
        <v>98</v>
      </c>
      <c r="K19" s="24"/>
      <c r="L19" s="7"/>
      <c r="M19" s="21" t="s">
        <v>314</v>
      </c>
      <c r="N19" s="108">
        <v>4.3172000000000002E-4</v>
      </c>
    </row>
    <row r="20" spans="1:14" ht="28.5" x14ac:dyDescent="0.45">
      <c r="A20" s="5"/>
      <c r="B20" s="7"/>
      <c r="C20" s="12"/>
      <c r="D20" s="16"/>
      <c r="E20" s="13"/>
      <c r="F20" s="13"/>
      <c r="G20" s="8"/>
      <c r="H20" s="14"/>
      <c r="I20" s="14"/>
      <c r="J20" s="23" t="s">
        <v>99</v>
      </c>
      <c r="K20" s="24"/>
      <c r="L20" s="7"/>
      <c r="M20" s="21" t="s">
        <v>315</v>
      </c>
      <c r="N20" s="108">
        <v>9.5160000000000004E-5</v>
      </c>
    </row>
    <row r="21" spans="1:14" ht="28.5" x14ac:dyDescent="0.45">
      <c r="A21" s="5"/>
      <c r="B21" s="7"/>
      <c r="C21" s="12"/>
      <c r="D21" s="16"/>
      <c r="E21" s="13"/>
      <c r="F21" s="13"/>
      <c r="G21" s="8"/>
      <c r="H21" s="14"/>
      <c r="I21" s="14"/>
      <c r="J21" s="23" t="s">
        <v>100</v>
      </c>
      <c r="K21" s="24"/>
      <c r="L21" s="7"/>
      <c r="M21" s="21" t="s">
        <v>315</v>
      </c>
      <c r="N21" s="108">
        <v>9.5160000000000004E-5</v>
      </c>
    </row>
    <row r="22" spans="1:14" ht="28.5" x14ac:dyDescent="0.45">
      <c r="A22" s="5"/>
      <c r="B22" s="7"/>
      <c r="C22" s="12"/>
      <c r="D22" s="21"/>
      <c r="E22" s="13"/>
      <c r="F22" s="13"/>
      <c r="G22" s="8"/>
      <c r="H22" s="14"/>
      <c r="I22" s="14"/>
      <c r="J22" s="23" t="s">
        <v>101</v>
      </c>
      <c r="K22" s="24"/>
      <c r="L22" s="7"/>
      <c r="M22" s="21" t="s">
        <v>320</v>
      </c>
      <c r="N22" s="108">
        <v>9.5160000000000004E-5</v>
      </c>
    </row>
    <row r="23" spans="1:14" ht="28.5" x14ac:dyDescent="0.45">
      <c r="A23" s="5"/>
      <c r="B23" s="7"/>
      <c r="C23" s="12"/>
      <c r="D23" s="16"/>
      <c r="E23" s="13"/>
      <c r="F23" s="13"/>
      <c r="G23" s="8"/>
      <c r="H23" s="14"/>
      <c r="I23" s="14"/>
      <c r="J23" s="23" t="s">
        <v>102</v>
      </c>
      <c r="K23" s="24"/>
      <c r="L23" s="7"/>
      <c r="M23" s="21" t="s">
        <v>316</v>
      </c>
      <c r="N23" s="108">
        <v>2.1656E-4</v>
      </c>
    </row>
    <row r="24" spans="1:14" x14ac:dyDescent="0.45">
      <c r="A24" s="5"/>
      <c r="B24" s="7"/>
      <c r="C24" s="12"/>
      <c r="D24" s="16"/>
      <c r="E24" s="13"/>
      <c r="F24" s="13"/>
      <c r="G24" s="8"/>
      <c r="H24" s="14"/>
      <c r="I24" s="14"/>
      <c r="J24" s="23" t="s">
        <v>103</v>
      </c>
      <c r="K24" s="24"/>
      <c r="L24" s="7"/>
      <c r="M24" s="21" t="s">
        <v>453</v>
      </c>
      <c r="N24" s="108">
        <v>1.4344E-4</v>
      </c>
    </row>
    <row r="25" spans="1:14" ht="28.5" x14ac:dyDescent="0.45">
      <c r="A25" s="5"/>
      <c r="B25" s="7"/>
      <c r="C25" s="12"/>
      <c r="D25" s="21"/>
      <c r="E25" s="13"/>
      <c r="F25" s="13"/>
      <c r="G25" s="8"/>
      <c r="H25" s="14"/>
      <c r="I25" s="14"/>
      <c r="J25" s="23" t="s">
        <v>104</v>
      </c>
      <c r="K25" s="24"/>
      <c r="L25" s="7"/>
      <c r="M25" s="21" t="s">
        <v>317</v>
      </c>
      <c r="N25" s="108">
        <v>1.4344E-4</v>
      </c>
    </row>
    <row r="26" spans="1:14" ht="28.5" x14ac:dyDescent="0.45">
      <c r="A26" s="5"/>
      <c r="B26" s="7"/>
      <c r="C26" s="12"/>
      <c r="D26" s="21"/>
      <c r="E26" s="13"/>
      <c r="F26" s="13"/>
      <c r="G26" s="8"/>
      <c r="H26" s="14"/>
      <c r="I26" s="14"/>
      <c r="J26" s="23" t="s">
        <v>105</v>
      </c>
      <c r="K26" s="24"/>
      <c r="L26" s="7"/>
      <c r="M26" s="21" t="s">
        <v>318</v>
      </c>
      <c r="N26" s="108">
        <v>7.1719999999999998E-5</v>
      </c>
    </row>
    <row r="27" spans="1:14" ht="28.5" x14ac:dyDescent="0.45">
      <c r="A27" s="5"/>
      <c r="B27" s="7"/>
      <c r="C27" s="12"/>
      <c r="D27" s="21"/>
      <c r="E27" s="13"/>
      <c r="F27" s="13"/>
      <c r="G27" s="8"/>
      <c r="H27" s="14"/>
      <c r="I27" s="14"/>
      <c r="J27" s="23" t="s">
        <v>106</v>
      </c>
      <c r="K27" s="24"/>
      <c r="L27" s="7"/>
      <c r="M27" s="21" t="s">
        <v>318</v>
      </c>
      <c r="N27" s="108">
        <v>7.1719999999999998E-5</v>
      </c>
    </row>
    <row r="28" spans="1:14" ht="28.5" x14ac:dyDescent="0.45">
      <c r="A28" s="5"/>
      <c r="B28" s="7"/>
      <c r="C28" s="12"/>
      <c r="D28" s="21"/>
      <c r="E28" s="13"/>
      <c r="F28" s="13"/>
      <c r="G28" s="8"/>
      <c r="H28" s="14"/>
      <c r="I28" s="14"/>
      <c r="J28" s="25" t="s">
        <v>107</v>
      </c>
      <c r="K28" s="24"/>
      <c r="L28" s="7"/>
      <c r="M28" s="21" t="s">
        <v>319</v>
      </c>
      <c r="N28" s="108">
        <v>7.0309999999999996E-5</v>
      </c>
    </row>
    <row r="29" spans="1:14" s="97" customFormat="1" ht="14.65" thickBot="1" x14ac:dyDescent="0.5">
      <c r="A29" s="102" t="s">
        <v>385</v>
      </c>
      <c r="B29" s="103"/>
      <c r="C29" s="104"/>
      <c r="D29" s="105"/>
      <c r="E29" s="106"/>
      <c r="F29" s="106"/>
      <c r="G29" s="107"/>
      <c r="H29" s="176"/>
      <c r="I29" s="176"/>
      <c r="J29" s="103"/>
      <c r="K29" s="103"/>
      <c r="L29" s="103"/>
      <c r="M29" s="103"/>
      <c r="N29" s="109">
        <f>SUBTOTAL(109,N2:N28)</f>
        <v>1.562504E-2</v>
      </c>
    </row>
    <row r="30" spans="1:14" ht="99.75" x14ac:dyDescent="0.45">
      <c r="A30" s="98">
        <f>HYPERLINK(Table1453541013[[#This Row],[Image Path]],Table1453541013[[#This Row],[Order by Date]])</f>
        <v>1</v>
      </c>
      <c r="B30" s="71" t="s">
        <v>272</v>
      </c>
      <c r="C30" s="99">
        <f t="shared" ref="C30:C40" si="0">C29+1</f>
        <v>1</v>
      </c>
      <c r="D30" s="94" t="str">
        <f>CONCATENATE("TORS_Documents\",Table1453541013[[#This Row],[Instrument No.
San Jacinto]],".pdf")</f>
        <v>TORS_Documents\09-2054.pdf</v>
      </c>
      <c r="E30" s="72"/>
      <c r="F30" s="72"/>
      <c r="G30" s="74" t="s">
        <v>423</v>
      </c>
      <c r="H30" s="130">
        <v>39903</v>
      </c>
      <c r="I30" s="130">
        <v>39881</v>
      </c>
      <c r="J30" s="93" t="s">
        <v>88</v>
      </c>
      <c r="K30" s="71" t="s">
        <v>458</v>
      </c>
      <c r="L30" s="71" t="s">
        <v>457</v>
      </c>
      <c r="M30" s="71" t="s">
        <v>459</v>
      </c>
      <c r="N30" s="29"/>
    </row>
    <row r="31" spans="1:14" ht="42.75" x14ac:dyDescent="0.45">
      <c r="A31" s="5">
        <f>HYPERLINK(Table1453541013[[#This Row],[Image Path]],Table1453541013[[#This Row],[Order by Date]])</f>
        <v>2</v>
      </c>
      <c r="B31" s="7" t="s">
        <v>271</v>
      </c>
      <c r="C31" s="12">
        <f t="shared" si="0"/>
        <v>2</v>
      </c>
      <c r="D31" s="21" t="str">
        <f>CONCATENATE("TORS_Documents\",Table1453541013[[#This Row],[Instrument No.
San Jacinto]],".pdf")</f>
        <v>TORS_Documents\09-6968.pdf</v>
      </c>
      <c r="E31" s="13"/>
      <c r="F31" s="13"/>
      <c r="G31" s="8" t="s">
        <v>424</v>
      </c>
      <c r="H31" s="14">
        <v>40137</v>
      </c>
      <c r="I31" s="14">
        <v>39448</v>
      </c>
      <c r="J31" s="23" t="s">
        <v>461</v>
      </c>
      <c r="K31" s="7" t="s">
        <v>265</v>
      </c>
      <c r="L31" s="7" t="s">
        <v>455</v>
      </c>
      <c r="M31" s="7" t="s">
        <v>456</v>
      </c>
      <c r="N31" s="33"/>
    </row>
    <row r="32" spans="1:14" ht="42.75" x14ac:dyDescent="0.45">
      <c r="A32" s="5">
        <f>HYPERLINK(Table1453541013[[#This Row],[Image Path]],Table1453541013[[#This Row],[Order by Date]])</f>
        <v>3</v>
      </c>
      <c r="B32" s="7" t="s">
        <v>271</v>
      </c>
      <c r="C32" s="12">
        <f t="shared" si="0"/>
        <v>3</v>
      </c>
      <c r="D32" s="21" t="str">
        <f>CONCATENATE("TORS_Documents\",Table1453541013[[#This Row],[Instrument No.
San Jacinto]],".pdf")</f>
        <v>TORS_Documents\10-2493.pdf</v>
      </c>
      <c r="E32" s="13"/>
      <c r="F32" s="13"/>
      <c r="G32" s="8" t="s">
        <v>425</v>
      </c>
      <c r="H32" s="14">
        <v>40312</v>
      </c>
      <c r="I32" s="14">
        <v>39814</v>
      </c>
      <c r="J32" s="23" t="s">
        <v>461</v>
      </c>
      <c r="K32" s="7" t="s">
        <v>266</v>
      </c>
      <c r="L32" s="7" t="s">
        <v>455</v>
      </c>
      <c r="M32" s="7" t="s">
        <v>460</v>
      </c>
      <c r="N32" s="33"/>
    </row>
    <row r="33" spans="1:14" ht="57" x14ac:dyDescent="0.45">
      <c r="A33" s="5">
        <f>HYPERLINK(Table1453541013[[#This Row],[Image Path]],Table1453541013[[#This Row],[Order by Date]])</f>
        <v>4</v>
      </c>
      <c r="B33" s="7" t="s">
        <v>271</v>
      </c>
      <c r="C33" s="12">
        <f t="shared" si="0"/>
        <v>4</v>
      </c>
      <c r="D33" s="21" t="str">
        <f>CONCATENATE("TORS_Documents\",Table1453541013[[#This Row],[Instrument No.
San Jacinto]],".pdf")</f>
        <v>TORS_Documents\2013000065.pdf</v>
      </c>
      <c r="E33" s="13"/>
      <c r="F33" s="13"/>
      <c r="G33" s="13">
        <v>2013000065</v>
      </c>
      <c r="H33" s="14">
        <v>41281</v>
      </c>
      <c r="I33" s="14">
        <v>41274</v>
      </c>
      <c r="J33" s="22" t="s">
        <v>267</v>
      </c>
      <c r="K33" s="7" t="s">
        <v>268</v>
      </c>
      <c r="L33" s="7" t="s">
        <v>462</v>
      </c>
      <c r="M33" s="7" t="s">
        <v>463</v>
      </c>
      <c r="N33" s="33"/>
    </row>
    <row r="34" spans="1:14" ht="57" x14ac:dyDescent="0.45">
      <c r="A34" s="5">
        <f>HYPERLINK(Table1453541013[[#This Row],[Image Path]],Table1453541013[[#This Row],[Order by Date]])</f>
        <v>5</v>
      </c>
      <c r="B34" s="7" t="s">
        <v>271</v>
      </c>
      <c r="C34" s="12">
        <f t="shared" si="0"/>
        <v>5</v>
      </c>
      <c r="D34" s="21" t="str">
        <f>CONCATENATE("TORS_Documents\",Table1453541013[[#This Row],[Instrument No.
San Jacinto]],".pdf")</f>
        <v>TORS_Documents\2013000191.pdf</v>
      </c>
      <c r="E34" s="13"/>
      <c r="F34" s="13"/>
      <c r="G34" s="13">
        <v>2013000191</v>
      </c>
      <c r="H34" s="14">
        <v>41289</v>
      </c>
      <c r="I34" s="14">
        <v>41274</v>
      </c>
      <c r="J34" s="7" t="s">
        <v>268</v>
      </c>
      <c r="K34" s="7" t="s">
        <v>269</v>
      </c>
      <c r="L34" s="7" t="s">
        <v>464</v>
      </c>
      <c r="M34" s="7" t="s">
        <v>270</v>
      </c>
      <c r="N34" s="33"/>
    </row>
    <row r="35" spans="1:14" ht="42.75" x14ac:dyDescent="0.45">
      <c r="A35" s="5">
        <f>HYPERLINK(Table1453541013[[#This Row],[Image Path]],Table1453541013[[#This Row],[Order by Date]])</f>
        <v>6</v>
      </c>
      <c r="B35" s="7" t="s">
        <v>274</v>
      </c>
      <c r="C35" s="12">
        <f t="shared" si="0"/>
        <v>6</v>
      </c>
      <c r="D35" s="21" t="str">
        <f>CONCATENATE("TORS_Documents\",Table1453541013[[#This Row],[Instrument No.
San Jacinto]],".pdf")</f>
        <v>TORS_Documents\20156045.pdf</v>
      </c>
      <c r="E35" s="13"/>
      <c r="F35" s="13"/>
      <c r="G35" s="13">
        <v>20156045</v>
      </c>
      <c r="H35" s="14">
        <v>42326</v>
      </c>
      <c r="I35" s="14">
        <v>41274</v>
      </c>
      <c r="J35" s="7" t="s">
        <v>268</v>
      </c>
      <c r="K35" s="7" t="s">
        <v>269</v>
      </c>
      <c r="L35" s="7" t="s">
        <v>465</v>
      </c>
      <c r="M35" s="7" t="s">
        <v>466</v>
      </c>
      <c r="N35" s="33"/>
    </row>
    <row r="36" spans="1:14" ht="42.75" x14ac:dyDescent="0.45">
      <c r="A36" s="5">
        <f>HYPERLINK(Table1453541013[[#This Row],[Image Path]],Table1453541013[[#This Row],[Order by Date]])</f>
        <v>7</v>
      </c>
      <c r="B36" s="7" t="s">
        <v>273</v>
      </c>
      <c r="C36" s="12">
        <f t="shared" si="0"/>
        <v>7</v>
      </c>
      <c r="D36" s="21" t="str">
        <f>CONCATENATE("TORS_Documents\",Table1453541013[[#This Row],[Instrument No.
San Jacinto]],".pdf")</f>
        <v>TORS_Documents\20156044.pdf</v>
      </c>
      <c r="E36" s="13"/>
      <c r="F36" s="13"/>
      <c r="G36" s="13">
        <v>20156044</v>
      </c>
      <c r="H36" s="14">
        <v>42326</v>
      </c>
      <c r="I36" s="14">
        <v>41274</v>
      </c>
      <c r="J36" s="22" t="s">
        <v>267</v>
      </c>
      <c r="K36" s="7" t="s">
        <v>268</v>
      </c>
      <c r="L36" s="7" t="s">
        <v>467</v>
      </c>
      <c r="M36" s="7" t="s">
        <v>278</v>
      </c>
      <c r="N36" s="33"/>
    </row>
    <row r="37" spans="1:14" ht="42.75" x14ac:dyDescent="0.45">
      <c r="A37" s="5">
        <f>HYPERLINK(Table1453541013[[#This Row],[Image Path]],Table1453541013[[#This Row],[Order by Date]])</f>
        <v>8</v>
      </c>
      <c r="B37" s="7" t="s">
        <v>279</v>
      </c>
      <c r="C37" s="12">
        <f t="shared" si="0"/>
        <v>8</v>
      </c>
      <c r="D37" s="21" t="str">
        <f>CONCATENATE("TORS_Documents\",Table1453541013[[#This Row],[Instrument No.
San Jacinto]],".pdf")</f>
        <v>TORS_Documents\20194106.pdf</v>
      </c>
      <c r="E37" s="13"/>
      <c r="F37" s="13"/>
      <c r="G37" s="13">
        <v>20194106</v>
      </c>
      <c r="H37" s="14">
        <v>43654</v>
      </c>
      <c r="I37" s="14">
        <v>43641</v>
      </c>
      <c r="J37" s="22" t="s">
        <v>96</v>
      </c>
      <c r="K37" s="7" t="s">
        <v>280</v>
      </c>
      <c r="L37" s="7" t="s">
        <v>475</v>
      </c>
      <c r="M37" s="7" t="s">
        <v>472</v>
      </c>
      <c r="N37" s="33"/>
    </row>
    <row r="38" spans="1:14" ht="28.5" x14ac:dyDescent="0.45">
      <c r="A38" s="5">
        <f>HYPERLINK(Table1453541013[[#This Row],[Image Path]],Table1453541013[[#This Row],[Order by Date]])</f>
        <v>9</v>
      </c>
      <c r="B38" s="7"/>
      <c r="C38" s="12">
        <f t="shared" si="0"/>
        <v>9</v>
      </c>
      <c r="D38" s="21" t="str">
        <f>CONCATENATE("TORS_Documents\",Table1453541013[[#This Row],[Instrument No.
San Jacinto]],".pdf")</f>
        <v>TORS_Documents\20182352.pdf</v>
      </c>
      <c r="E38" s="13"/>
      <c r="F38" s="13"/>
      <c r="G38" s="52">
        <v>20182352</v>
      </c>
      <c r="H38" s="14">
        <v>43208</v>
      </c>
      <c r="I38" s="14">
        <v>43201</v>
      </c>
      <c r="J38" s="22" t="s">
        <v>471</v>
      </c>
      <c r="K38" s="7" t="s">
        <v>470</v>
      </c>
      <c r="L38" s="7" t="s">
        <v>475</v>
      </c>
      <c r="M38" s="7" t="s">
        <v>472</v>
      </c>
      <c r="N38" s="33"/>
    </row>
    <row r="39" spans="1:14" ht="57" x14ac:dyDescent="0.45">
      <c r="A39" s="5">
        <f>HYPERLINK(Table1453541013[[#This Row],[Image Path]],Table1453541013[[#This Row],[Order by Date]])</f>
        <v>10</v>
      </c>
      <c r="B39" s="7" t="s">
        <v>12</v>
      </c>
      <c r="C39" s="12">
        <f t="shared" si="0"/>
        <v>10</v>
      </c>
      <c r="D39" s="21" t="str">
        <f>CONCATENATE("TORS_Documents\",Table1453541013[[#This Row],[Instrument No.
San Jacinto]],".pdf")</f>
        <v>TORS_Documents\20242846.pdf</v>
      </c>
      <c r="E39" s="13"/>
      <c r="F39" s="13"/>
      <c r="G39" s="100">
        <v>20242846</v>
      </c>
      <c r="H39" s="14">
        <v>45435</v>
      </c>
      <c r="I39" s="14">
        <v>45420</v>
      </c>
      <c r="J39" s="22" t="s">
        <v>473</v>
      </c>
      <c r="K39" s="7" t="s">
        <v>474</v>
      </c>
      <c r="L39" s="7" t="s">
        <v>475</v>
      </c>
      <c r="M39" s="7" t="s">
        <v>460</v>
      </c>
      <c r="N39" s="33"/>
    </row>
    <row r="40" spans="1:14" ht="42.75" x14ac:dyDescent="0.45">
      <c r="A40" s="5">
        <f>HYPERLINK(Table1453541013[[#This Row],[Image Path]],Table1453541013[[#This Row],[Order by Date]])</f>
        <v>11</v>
      </c>
      <c r="B40" s="7" t="s">
        <v>283</v>
      </c>
      <c r="C40" s="12">
        <f t="shared" si="0"/>
        <v>11</v>
      </c>
      <c r="D40" s="21" t="str">
        <f>CONCATENATE("TORS_Documents\",Table1453541013[[#This Row],[Instrument No.
San Jacinto]],".pdf")</f>
        <v>TORS_Documents\20212728.pdf</v>
      </c>
      <c r="E40" s="13"/>
      <c r="F40" s="13"/>
      <c r="G40" s="13">
        <v>20212728</v>
      </c>
      <c r="H40" s="14">
        <v>44306</v>
      </c>
      <c r="I40" s="14">
        <v>44274</v>
      </c>
      <c r="J40" s="22" t="s">
        <v>307</v>
      </c>
      <c r="K40" s="7" t="s">
        <v>281</v>
      </c>
      <c r="L40" s="7" t="s">
        <v>469</v>
      </c>
      <c r="M40" s="7" t="s">
        <v>468</v>
      </c>
      <c r="N40" s="33"/>
    </row>
    <row r="41" spans="1:14" x14ac:dyDescent="0.45">
      <c r="A41" s="5"/>
      <c r="B41" s="7"/>
      <c r="C41" s="12"/>
      <c r="D41" s="21"/>
      <c r="E41" s="13"/>
      <c r="F41" s="13"/>
      <c r="G41" s="8"/>
      <c r="H41" s="11"/>
      <c r="I41" s="11"/>
      <c r="J41" s="7"/>
      <c r="K41" s="7"/>
      <c r="L41" s="7"/>
      <c r="M41" s="7"/>
      <c r="N41" s="33"/>
    </row>
    <row r="42" spans="1:14" x14ac:dyDescent="0.45">
      <c r="N42" s="33"/>
    </row>
    <row r="43" spans="1:14" x14ac:dyDescent="0.45">
      <c r="N43" s="33"/>
    </row>
    <row r="44" spans="1:14" x14ac:dyDescent="0.45">
      <c r="N44" s="33"/>
    </row>
    <row r="45" spans="1:14" x14ac:dyDescent="0.45">
      <c r="N45" s="33"/>
    </row>
    <row r="46" spans="1:14" x14ac:dyDescent="0.45">
      <c r="N46" s="33"/>
    </row>
    <row r="47" spans="1:14" x14ac:dyDescent="0.45">
      <c r="N47" s="33"/>
    </row>
    <row r="48" spans="1:14" x14ac:dyDescent="0.45">
      <c r="N48" s="33"/>
    </row>
    <row r="49" spans="14:14" x14ac:dyDescent="0.45">
      <c r="N49" s="36"/>
    </row>
  </sheetData>
  <phoneticPr fontId="3" type="noConversion"/>
  <pageMargins left="0.5" right="0.5" top="1" bottom="0.5" header="0.3" footer="0.3"/>
  <pageSetup paperSize="5" scale="62" fitToHeight="0" orientation="landscape" horizontalDpi="1200" verticalDpi="1200" r:id="rId1"/>
  <headerFooter>
    <oddHeader>&amp;LNPR 1 Title&amp;C&amp;"Calibri,Bold"&amp;16Arcadia Operating, LLC - Dr. Elmore #1 Unit Division Order Title Opinion Runsheet
276.12 acres, Vital Flores Survey, A-14 and Thomas Webb Survey, A-300, San Jacinto County Texas
Magnolia Petroleum Company, LLC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DE08-12A8-0443-A5C3-5E5AC5ECB75A}">
  <sheetPr>
    <pageSetUpPr fitToPage="1"/>
  </sheetPr>
  <dimension ref="A1:O27"/>
  <sheetViews>
    <sheetView zoomScale="90" zoomScaleNormal="90" workbookViewId="0">
      <selection activeCell="L6" sqref="L6"/>
    </sheetView>
  </sheetViews>
  <sheetFormatPr defaultColWidth="8.796875" defaultRowHeight="14.25" x14ac:dyDescent="0.45"/>
  <cols>
    <col min="1" max="1" width="15.33203125" style="4" customWidth="1"/>
    <col min="2" max="2" width="14" style="17" customWidth="1"/>
    <col min="3" max="3" width="8.46484375" style="18" hidden="1" customWidth="1"/>
    <col min="4" max="4" width="42.59765625" style="17" hidden="1" customWidth="1"/>
    <col min="5" max="5" width="6.796875" style="18" hidden="1" customWidth="1"/>
    <col min="6" max="6" width="7" style="18" hidden="1" customWidth="1"/>
    <col min="7" max="7" width="12.33203125" style="18" customWidth="1"/>
    <col min="8" max="8" width="12" style="19" customWidth="1"/>
    <col min="9" max="9" width="11.46484375" style="20" customWidth="1"/>
    <col min="10" max="10" width="30.46484375" style="18" customWidth="1"/>
    <col min="11" max="11" width="33" style="17" customWidth="1"/>
    <col min="12" max="12" width="52.796875" style="17" customWidth="1"/>
    <col min="13" max="13" width="55.33203125" style="17" customWidth="1"/>
    <col min="14" max="14" width="16.06640625" style="17" customWidth="1"/>
    <col min="15" max="16384" width="8.796875" style="17"/>
  </cols>
  <sheetData>
    <row r="1" spans="1:15" ht="57.4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477</v>
      </c>
    </row>
    <row r="2" spans="1:15" ht="42.75" x14ac:dyDescent="0.45">
      <c r="A2" s="101" t="str">
        <f>HYPERLINK(Table1453541014[[#This Row],[Image Path]],Table1453541014[[#This Row],[Order by Date]])</f>
        <v>1</v>
      </c>
      <c r="B2" s="71" t="s">
        <v>29</v>
      </c>
      <c r="C2" s="74" t="s">
        <v>67</v>
      </c>
      <c r="D2" s="94" t="str">
        <f>CONCATENATE("TORS_Documents\",Table1453541014[[#This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71" t="s">
        <v>31</v>
      </c>
      <c r="K2" s="71" t="s">
        <v>32</v>
      </c>
      <c r="L2" s="71" t="s">
        <v>479</v>
      </c>
      <c r="M2" s="71" t="s">
        <v>454</v>
      </c>
      <c r="N2" s="29"/>
    </row>
    <row r="3" spans="1:15" x14ac:dyDescent="0.45">
      <c r="A3" s="5"/>
      <c r="B3" s="7"/>
      <c r="C3" s="12"/>
      <c r="D3" s="16"/>
      <c r="E3" s="13"/>
      <c r="F3" s="13"/>
      <c r="G3" s="30"/>
      <c r="H3" s="31"/>
      <c r="I3" s="11"/>
      <c r="J3" s="32" t="s">
        <v>108</v>
      </c>
      <c r="K3" s="24"/>
      <c r="L3" s="7"/>
      <c r="M3" s="24" t="s">
        <v>260</v>
      </c>
      <c r="N3" s="110">
        <v>2.0833330000000001E-2</v>
      </c>
    </row>
    <row r="4" spans="1:15" x14ac:dyDescent="0.45">
      <c r="A4" s="15"/>
      <c r="B4" s="7"/>
      <c r="C4" s="12"/>
      <c r="D4" s="16"/>
      <c r="E4" s="13"/>
      <c r="F4" s="13"/>
      <c r="G4" s="30"/>
      <c r="H4" s="31"/>
      <c r="I4" s="11"/>
      <c r="J4" s="32" t="s">
        <v>235</v>
      </c>
      <c r="K4" s="24"/>
      <c r="L4" s="7"/>
      <c r="M4" s="24" t="s">
        <v>261</v>
      </c>
      <c r="N4" s="110">
        <v>3.4722199999999998E-3</v>
      </c>
    </row>
    <row r="5" spans="1:15" x14ac:dyDescent="0.45">
      <c r="A5" s="15"/>
      <c r="B5" s="7"/>
      <c r="C5" s="12"/>
      <c r="D5" s="16"/>
      <c r="E5" s="13"/>
      <c r="F5" s="13"/>
      <c r="G5" s="30"/>
      <c r="H5" s="31"/>
      <c r="I5" s="11"/>
      <c r="J5" s="32" t="s">
        <v>109</v>
      </c>
      <c r="K5" s="24"/>
      <c r="L5" s="7"/>
      <c r="M5" s="24" t="s">
        <v>261</v>
      </c>
      <c r="N5" s="110">
        <v>3.4722199999999998E-3</v>
      </c>
    </row>
    <row r="6" spans="1:15" x14ac:dyDescent="0.45">
      <c r="A6" s="15"/>
      <c r="B6" s="7"/>
      <c r="C6" s="12"/>
      <c r="D6" s="16"/>
      <c r="E6" s="13"/>
      <c r="F6" s="13"/>
      <c r="G6" s="30"/>
      <c r="H6" s="31"/>
      <c r="I6" s="11"/>
      <c r="J6" s="32" t="s">
        <v>110</v>
      </c>
      <c r="K6" s="24"/>
      <c r="L6" s="7"/>
      <c r="M6" s="24" t="s">
        <v>262</v>
      </c>
      <c r="N6" s="110">
        <v>1.0416669999999999E-2</v>
      </c>
    </row>
    <row r="7" spans="1:15" x14ac:dyDescent="0.45">
      <c r="A7" s="15"/>
      <c r="B7" s="7"/>
      <c r="C7" s="12"/>
      <c r="D7" s="16"/>
      <c r="E7" s="13"/>
      <c r="F7" s="13"/>
      <c r="G7" s="30"/>
      <c r="H7" s="31"/>
      <c r="I7" s="11"/>
      <c r="J7" s="32" t="s">
        <v>111</v>
      </c>
      <c r="K7" s="24"/>
      <c r="L7" s="7"/>
      <c r="M7" s="24" t="s">
        <v>262</v>
      </c>
      <c r="N7" s="110">
        <v>1.0416669999999999E-2</v>
      </c>
    </row>
    <row r="8" spans="1:15" x14ac:dyDescent="0.45">
      <c r="A8" s="5"/>
      <c r="B8" s="7"/>
      <c r="C8" s="12"/>
      <c r="D8" s="16"/>
      <c r="E8" s="13"/>
      <c r="F8" s="13"/>
      <c r="G8" s="30"/>
      <c r="H8" s="31"/>
      <c r="I8" s="11"/>
      <c r="J8" s="32" t="s">
        <v>112</v>
      </c>
      <c r="K8" s="24"/>
      <c r="L8" s="7"/>
      <c r="M8" s="24" t="s">
        <v>263</v>
      </c>
      <c r="N8" s="110">
        <v>6.9444399999999996E-3</v>
      </c>
    </row>
    <row r="9" spans="1:15" x14ac:dyDescent="0.45">
      <c r="A9" s="15"/>
      <c r="B9" s="7"/>
      <c r="C9" s="12"/>
      <c r="D9" s="16"/>
      <c r="E9" s="13"/>
      <c r="F9" s="13"/>
      <c r="G9" s="30"/>
      <c r="H9" s="31"/>
      <c r="I9" s="11"/>
      <c r="J9" s="32" t="s">
        <v>113</v>
      </c>
      <c r="K9" s="24"/>
      <c r="L9" s="7"/>
      <c r="M9" s="24" t="s">
        <v>263</v>
      </c>
      <c r="N9" s="110">
        <v>6.9444399999999996E-3</v>
      </c>
    </row>
    <row r="10" spans="1:15" ht="14.65" thickBot="1" x14ac:dyDescent="0.5">
      <c r="A10" s="102" t="s">
        <v>385</v>
      </c>
      <c r="B10" s="77"/>
      <c r="C10" s="119"/>
      <c r="D10" s="79"/>
      <c r="E10" s="78"/>
      <c r="F10" s="78"/>
      <c r="G10" s="81"/>
      <c r="H10" s="82"/>
      <c r="I10" s="82"/>
      <c r="J10" s="77"/>
      <c r="K10" s="77"/>
      <c r="L10" s="77"/>
      <c r="M10" s="77"/>
      <c r="N10" s="131">
        <f>SUBTOTAL(109,N2:N9)</f>
        <v>6.2499989999999991E-2</v>
      </c>
    </row>
    <row r="11" spans="1:15" ht="28.5" x14ac:dyDescent="0.45">
      <c r="A11" s="121">
        <f>HYPERLINK(Table1453541014[[#This Row],[Image Path]],Table1453541014[[#This Row],[Order by Date]])</f>
        <v>1</v>
      </c>
      <c r="B11" s="122" t="s">
        <v>219</v>
      </c>
      <c r="C11" s="123">
        <v>1</v>
      </c>
      <c r="D11" s="73" t="str">
        <f>CONCATENATE("TORS_Documents\",Table1453541014[[#This Row],[Instrument No.
San Jacinto]],".pdf")</f>
        <v>TORS_Documents\20172674.pdf</v>
      </c>
      <c r="E11" s="124"/>
      <c r="F11" s="124"/>
      <c r="G11" s="125" t="s">
        <v>216</v>
      </c>
      <c r="H11" s="126">
        <v>42871</v>
      </c>
      <c r="I11" s="126">
        <v>42853</v>
      </c>
      <c r="J11" s="127" t="s">
        <v>217</v>
      </c>
      <c r="K11" s="122" t="s">
        <v>34</v>
      </c>
      <c r="L11" s="122"/>
      <c r="M11" s="122" t="s">
        <v>487</v>
      </c>
      <c r="N11" s="128"/>
    </row>
    <row r="12" spans="1:15" ht="57" x14ac:dyDescent="0.45">
      <c r="A12" s="129">
        <f>HYPERLINK(Table1453541014[[#This Row],[Image Path]],Table1453541014[[#This Row],[Order by Date]])</f>
        <v>2</v>
      </c>
      <c r="B12" s="7" t="s">
        <v>215</v>
      </c>
      <c r="C12" s="12">
        <f>C11+1</f>
        <v>2</v>
      </c>
      <c r="D12" s="21" t="str">
        <f>CONCATENATE("TORS_Documents\",Table1453541014[[#This Row],[Instrument No.
San Jacinto]],".pdf")</f>
        <v>TORS_Documents\20174126.pdf</v>
      </c>
      <c r="E12" s="13"/>
      <c r="F12" s="13"/>
      <c r="G12" s="8" t="s">
        <v>222</v>
      </c>
      <c r="H12" s="14">
        <v>42933</v>
      </c>
      <c r="I12" s="14">
        <v>42912</v>
      </c>
      <c r="J12" s="22" t="s">
        <v>223</v>
      </c>
      <c r="K12" s="7" t="s">
        <v>224</v>
      </c>
      <c r="L12" s="7" t="s">
        <v>480</v>
      </c>
      <c r="M12" s="7" t="s">
        <v>481</v>
      </c>
      <c r="N12" s="34"/>
      <c r="O12" s="120"/>
    </row>
    <row r="13" spans="1:15" x14ac:dyDescent="0.45">
      <c r="A13" s="101">
        <f>HYPERLINK(Table1453541014[[#This Row],[Image Path]],Table1453541014[[#This Row],[Order by Date]])</f>
        <v>3</v>
      </c>
      <c r="B13" s="71" t="s">
        <v>211</v>
      </c>
      <c r="C13" s="12">
        <f>C12+1</f>
        <v>3</v>
      </c>
      <c r="D13" s="94" t="str">
        <f>CONCATENATE("TORS_Documents\",Table1453541014[[#This Row],[Instrument No.
San Jacinto]],".pdf")</f>
        <v>TORS_Documents\20241988.pdf</v>
      </c>
      <c r="E13" s="72"/>
      <c r="F13" s="72"/>
      <c r="G13" s="74" t="s">
        <v>482</v>
      </c>
      <c r="H13" s="130">
        <v>45392</v>
      </c>
      <c r="I13" s="130">
        <v>45259</v>
      </c>
      <c r="J13" s="93" t="s">
        <v>108</v>
      </c>
      <c r="K13" s="71" t="s">
        <v>210</v>
      </c>
      <c r="L13" s="7" t="s">
        <v>480</v>
      </c>
      <c r="M13" s="71"/>
      <c r="N13" s="51"/>
      <c r="O13" s="33"/>
    </row>
    <row r="14" spans="1:15" ht="28.5" x14ac:dyDescent="0.45">
      <c r="A14" s="2">
        <f>HYPERLINK(Table1453541014[[#This Row],[Image Path]],Table1453541014[[#This Row],[Order by Date]])</f>
        <v>4</v>
      </c>
      <c r="B14" s="7" t="s">
        <v>219</v>
      </c>
      <c r="C14" s="12">
        <f>C13+1</f>
        <v>4</v>
      </c>
      <c r="D14" s="94" t="str">
        <f>CONCATENATE("TORS_Documents\",Table1453541014[[#This Row],[Instrument No.
San Jacinto]],".pdf")</f>
        <v>TORS_Documents\20242292.pdf</v>
      </c>
      <c r="E14" s="13"/>
      <c r="F14" s="13"/>
      <c r="G14" s="8" t="s">
        <v>220</v>
      </c>
      <c r="H14" s="14">
        <v>45405</v>
      </c>
      <c r="I14" s="14">
        <v>45393</v>
      </c>
      <c r="J14" s="22" t="s">
        <v>221</v>
      </c>
      <c r="K14" s="7" t="s">
        <v>34</v>
      </c>
      <c r="L14" s="7"/>
      <c r="M14" s="7" t="s">
        <v>218</v>
      </c>
      <c r="N14" s="34"/>
      <c r="O14" s="33"/>
    </row>
    <row r="15" spans="1:15" ht="42.75" x14ac:dyDescent="0.45">
      <c r="A15" s="2">
        <f>HYPERLINK(Table1453541014[[#This Row],[Image Path]],Table1453541014[[#This Row],[Order by Date]])</f>
        <v>5</v>
      </c>
      <c r="B15" s="7" t="s">
        <v>484</v>
      </c>
      <c r="C15" s="12">
        <f>C14+1</f>
        <v>5</v>
      </c>
      <c r="D15" s="94" t="str">
        <f>CONCATENATE("TORS_Documents\",Table1453541014[[#This Row],[Instrument No.
San Jacinto]],".pdf")</f>
        <v>TORS_Documents\24CPR0065_Probate.pdf</v>
      </c>
      <c r="E15" s="13"/>
      <c r="F15" s="13"/>
      <c r="G15" s="8" t="s">
        <v>483</v>
      </c>
      <c r="H15" s="14">
        <v>45490</v>
      </c>
      <c r="I15" s="14">
        <v>45481</v>
      </c>
      <c r="J15" s="22" t="s">
        <v>485</v>
      </c>
      <c r="K15" s="7" t="s">
        <v>508</v>
      </c>
      <c r="L15" s="7" t="s">
        <v>486</v>
      </c>
      <c r="M15" s="7" t="s">
        <v>509</v>
      </c>
      <c r="N15" s="34"/>
      <c r="O15" s="33"/>
    </row>
    <row r="16" spans="1:15" ht="28.5" x14ac:dyDescent="0.45">
      <c r="A16" s="2">
        <f>HYPERLINK(Table1453541014[[#This Row],[Image Path]],Table1453541014[[#This Row],[Order by Date]])</f>
        <v>6</v>
      </c>
      <c r="B16" s="7" t="s">
        <v>175</v>
      </c>
      <c r="C16" s="12">
        <f>C15+1</f>
        <v>6</v>
      </c>
      <c r="D16" s="94" t="str">
        <f>CONCATENATE("TORS_Documents\",Table1453541014[[#This Row],[Instrument No.
San Jacinto]],".pdf")</f>
        <v>TORS_Documents\P2025-4.pdf</v>
      </c>
      <c r="E16" s="13"/>
      <c r="F16" s="13"/>
      <c r="G16" s="8" t="s">
        <v>212</v>
      </c>
      <c r="H16" s="14">
        <v>45699</v>
      </c>
      <c r="I16" s="14">
        <v>45699</v>
      </c>
      <c r="J16" s="22" t="s">
        <v>492</v>
      </c>
      <c r="K16" s="7" t="s">
        <v>495</v>
      </c>
      <c r="L16" s="7" t="s">
        <v>493</v>
      </c>
      <c r="M16" s="7" t="s">
        <v>494</v>
      </c>
      <c r="N16" s="34"/>
      <c r="O16" s="33"/>
    </row>
    <row r="17" spans="1:15" x14ac:dyDescent="0.45">
      <c r="A17" s="118"/>
      <c r="B17" s="111"/>
      <c r="C17" s="112"/>
      <c r="D17" s="113"/>
      <c r="E17" s="114"/>
      <c r="F17" s="114"/>
      <c r="G17" s="115"/>
      <c r="H17" s="116"/>
      <c r="I17" s="116"/>
      <c r="J17" s="111"/>
      <c r="K17" s="111"/>
      <c r="L17" s="111"/>
      <c r="M17" s="111"/>
      <c r="N17" s="117"/>
      <c r="O17" s="33"/>
    </row>
    <row r="18" spans="1:15" x14ac:dyDescent="0.45">
      <c r="A18" s="3"/>
      <c r="B18" s="24"/>
      <c r="C18" s="30"/>
      <c r="D18" s="24"/>
      <c r="E18" s="30"/>
      <c r="F18" s="30"/>
      <c r="G18" s="30"/>
      <c r="H18" s="31"/>
      <c r="I18" s="11"/>
      <c r="J18" s="30"/>
      <c r="K18" s="24"/>
      <c r="L18" s="24"/>
      <c r="M18" s="24"/>
      <c r="N18" s="24"/>
    </row>
    <row r="19" spans="1:15" s="24" customFormat="1" x14ac:dyDescent="0.45">
      <c r="A19" s="15"/>
      <c r="B19" s="7"/>
      <c r="C19" s="12"/>
      <c r="D19" s="16"/>
      <c r="E19" s="13"/>
      <c r="F19" s="13"/>
      <c r="G19" s="8"/>
      <c r="H19" s="11"/>
      <c r="I19" s="11"/>
      <c r="J19" s="7"/>
      <c r="K19" s="7"/>
      <c r="L19" s="7"/>
      <c r="M19" s="7"/>
      <c r="N19" s="33"/>
    </row>
    <row r="20" spans="1:15" x14ac:dyDescent="0.45">
      <c r="A20" s="15"/>
      <c r="B20" s="7"/>
      <c r="C20" s="12"/>
      <c r="D20" s="16"/>
      <c r="E20" s="13"/>
      <c r="F20" s="13"/>
      <c r="G20" s="8"/>
      <c r="H20" s="11"/>
      <c r="I20" s="11"/>
      <c r="J20" s="7"/>
      <c r="K20" s="7"/>
      <c r="L20" s="7"/>
      <c r="M20" s="7"/>
      <c r="N20" s="33"/>
    </row>
    <row r="21" spans="1:15" x14ac:dyDescent="0.45">
      <c r="A21" s="15"/>
      <c r="B21" s="7"/>
      <c r="C21" s="12"/>
      <c r="D21" s="16"/>
      <c r="E21" s="13"/>
      <c r="F21" s="13"/>
      <c r="G21" s="8"/>
      <c r="H21" s="11"/>
      <c r="I21" s="11"/>
      <c r="J21" s="7"/>
      <c r="K21" s="7"/>
      <c r="L21" s="7"/>
      <c r="M21" s="7"/>
      <c r="N21" s="33"/>
    </row>
    <row r="22" spans="1:15" x14ac:dyDescent="0.45">
      <c r="A22" s="15"/>
      <c r="B22" s="7"/>
      <c r="C22" s="12"/>
      <c r="D22" s="16"/>
      <c r="E22" s="13"/>
      <c r="F22" s="13"/>
      <c r="G22" s="8"/>
      <c r="H22" s="11"/>
      <c r="I22" s="11"/>
      <c r="J22" s="7"/>
      <c r="K22" s="7"/>
      <c r="L22" s="7"/>
      <c r="M22" s="7"/>
      <c r="N22" s="33"/>
    </row>
    <row r="23" spans="1:15" x14ac:dyDescent="0.45">
      <c r="A23" s="15"/>
      <c r="B23" s="7"/>
      <c r="C23" s="12"/>
      <c r="D23" s="16"/>
      <c r="E23" s="13"/>
      <c r="F23" s="13"/>
      <c r="G23" s="8"/>
      <c r="H23" s="11"/>
      <c r="I23" s="11"/>
      <c r="J23" s="7"/>
      <c r="K23" s="7"/>
      <c r="L23" s="7"/>
      <c r="M23" s="7"/>
      <c r="N23" s="33"/>
    </row>
    <row r="24" spans="1:15" x14ac:dyDescent="0.45">
      <c r="A24" s="15"/>
      <c r="B24" s="7"/>
      <c r="C24" s="12"/>
      <c r="D24" s="21"/>
      <c r="E24" s="13"/>
      <c r="F24" s="13"/>
      <c r="G24" s="8"/>
      <c r="H24" s="11"/>
      <c r="I24" s="11"/>
      <c r="J24" s="7"/>
      <c r="K24" s="7"/>
      <c r="L24" s="7"/>
      <c r="M24" s="7"/>
      <c r="N24" s="33"/>
    </row>
    <row r="25" spans="1:15" x14ac:dyDescent="0.45">
      <c r="A25" s="15"/>
      <c r="B25" s="7"/>
      <c r="C25" s="12"/>
      <c r="D25" s="16"/>
      <c r="E25" s="13"/>
      <c r="F25" s="13"/>
      <c r="G25" s="8"/>
      <c r="H25" s="11"/>
      <c r="I25" s="11"/>
      <c r="J25" s="7"/>
      <c r="K25" s="7"/>
      <c r="L25" s="7"/>
      <c r="M25" s="7"/>
      <c r="N25" s="33"/>
    </row>
    <row r="26" spans="1:15" x14ac:dyDescent="0.45">
      <c r="A26" s="15"/>
      <c r="B26" s="7"/>
      <c r="C26" s="12"/>
      <c r="D26" s="16"/>
      <c r="E26" s="13"/>
      <c r="F26" s="13"/>
      <c r="G26" s="8"/>
      <c r="H26" s="11"/>
      <c r="I26" s="11"/>
      <c r="J26" s="7"/>
      <c r="K26" s="7"/>
      <c r="L26" s="7"/>
      <c r="M26" s="7"/>
      <c r="N26" s="33"/>
    </row>
    <row r="27" spans="1:15" x14ac:dyDescent="0.45">
      <c r="A27" s="6"/>
      <c r="B27" s="7"/>
      <c r="C27" s="8"/>
      <c r="D27" s="21"/>
      <c r="E27" s="13"/>
      <c r="F27" s="13"/>
      <c r="G27" s="8"/>
      <c r="H27" s="11"/>
      <c r="I27" s="11"/>
      <c r="J27" s="7"/>
      <c r="K27" s="7"/>
      <c r="L27" s="7"/>
      <c r="M27" s="7"/>
      <c r="N27" s="36"/>
    </row>
  </sheetData>
  <pageMargins left="0.5" right="0.5" top="1" bottom="0.75" header="0.3" footer="0.3"/>
  <pageSetup paperSize="5" scale="66" orientation="landscape" horizontalDpi="1200" verticalDpi="1200" r:id="rId1"/>
  <headerFooter>
    <oddHeader>&amp;LNPR 2 Title&amp;C&amp;"-,Bold"&amp;14Arcadia Operating, LLC - Dr. Elmore #1 Unit Division Order Title Opinion Runsheet
276.12 acres, Vital Flores Survey, A-14 and Thomas Webb Survey, A-300, San Jacinto County Texas
Magnolia Petroleum Company, LLC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5CA0-5E4A-42C0-A5E4-4692D4875DB6}">
  <sheetPr>
    <pageSetUpPr fitToPage="1"/>
  </sheetPr>
  <dimension ref="A1:N21"/>
  <sheetViews>
    <sheetView zoomScale="90" zoomScaleNormal="90" workbookViewId="0">
      <selection activeCell="L19" sqref="L19"/>
    </sheetView>
  </sheetViews>
  <sheetFormatPr defaultColWidth="8.796875" defaultRowHeight="14.25" x14ac:dyDescent="0.45"/>
  <cols>
    <col min="1" max="1" width="15.33203125" style="3" customWidth="1"/>
    <col min="2" max="2" width="14" style="24" customWidth="1"/>
    <col min="3" max="3" width="8.46484375" style="30" hidden="1" customWidth="1"/>
    <col min="4" max="4" width="42.59765625" style="24" hidden="1" customWidth="1"/>
    <col min="5" max="5" width="6.796875" style="30" hidden="1" customWidth="1"/>
    <col min="6" max="6" width="7" style="30" hidden="1" customWidth="1"/>
    <col min="7" max="7" width="12.33203125" style="30" customWidth="1"/>
    <col min="8" max="8" width="13.59765625" style="31" customWidth="1"/>
    <col min="9" max="9" width="14.59765625" style="11" customWidth="1"/>
    <col min="10" max="10" width="35" style="30" customWidth="1"/>
    <col min="11" max="11" width="33" style="24" customWidth="1"/>
    <col min="12" max="12" width="52.796875" style="24" customWidth="1"/>
    <col min="13" max="13" width="55.33203125" style="24" customWidth="1"/>
    <col min="14" max="14" width="16.46484375" style="24" customWidth="1"/>
    <col min="15" max="16384" width="8.796875" style="24"/>
  </cols>
  <sheetData>
    <row r="1" spans="1:14" ht="57" customHeight="1" thickBot="1" x14ac:dyDescent="0.5">
      <c r="A1" s="146" t="s">
        <v>73</v>
      </c>
      <c r="B1" s="146" t="s">
        <v>0</v>
      </c>
      <c r="C1" s="146" t="s">
        <v>1</v>
      </c>
      <c r="D1" s="146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 t="str">
        <f>HYPERLINK(Table145354[[#This Row],[Image Path]],Table145354[[#This Row],[Order by Date]])</f>
        <v>1</v>
      </c>
      <c r="B2" s="71" t="s">
        <v>29</v>
      </c>
      <c r="C2" s="72" t="s">
        <v>67</v>
      </c>
      <c r="D2" s="94" t="str">
        <f>CONCATENATE("TORS_Documents\",Table145354[[#This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71" t="s">
        <v>31</v>
      </c>
      <c r="K2" s="71" t="s">
        <v>32</v>
      </c>
      <c r="L2" s="71" t="s">
        <v>325</v>
      </c>
      <c r="M2" s="71" t="s">
        <v>454</v>
      </c>
      <c r="N2" s="68"/>
    </row>
    <row r="3" spans="1:14" ht="28.5" x14ac:dyDescent="0.45">
      <c r="A3" s="5">
        <f>HYPERLINK(Table145354[[#This Row],[Image Path]],Table145354[[#This Row],[Order by Date]])</f>
        <v>2</v>
      </c>
      <c r="B3" s="7" t="s">
        <v>29</v>
      </c>
      <c r="C3" s="13">
        <f>C2+1</f>
        <v>2</v>
      </c>
      <c r="D3" s="21" t="str">
        <f>CONCATENATE("TORS_Documents\",Table145354[[#This Row],[Instrument No.
San Jacinto]],".pdf")</f>
        <v>TORS_Documents\DOTO_ElmoreC-1_Unit.pdf</v>
      </c>
      <c r="E3" s="10"/>
      <c r="F3" s="10"/>
      <c r="G3" s="8" t="s">
        <v>30</v>
      </c>
      <c r="H3" s="14"/>
      <c r="I3" s="14"/>
      <c r="J3" s="59" t="s">
        <v>22</v>
      </c>
      <c r="K3" s="7" t="s">
        <v>326</v>
      </c>
      <c r="L3" s="7"/>
      <c r="M3" s="7" t="s">
        <v>339</v>
      </c>
      <c r="N3" s="69">
        <v>0.5</v>
      </c>
    </row>
    <row r="4" spans="1:14" ht="28.5" x14ac:dyDescent="0.45">
      <c r="A4" s="5">
        <f>HYPERLINK(Table145354[[#This Row],[Image Path]],Table145354[[#This Row],[Order by Date]])</f>
        <v>3</v>
      </c>
      <c r="B4" s="7" t="s">
        <v>29</v>
      </c>
      <c r="C4" s="13">
        <f t="shared" ref="C4:C5" si="0">C3+1</f>
        <v>3</v>
      </c>
      <c r="D4" s="21" t="str">
        <f>CONCATENATE("TORS_Documents\",Table145354[[#This Row],[Instrument No.
San Jacinto]],".pdf")</f>
        <v>TORS_Documents\DOTO_ElmoreC-1_Unit.pdf</v>
      </c>
      <c r="E4" s="10"/>
      <c r="F4" s="10"/>
      <c r="G4" s="8" t="s">
        <v>30</v>
      </c>
      <c r="H4" s="14"/>
      <c r="I4" s="14"/>
      <c r="J4" s="7" t="s">
        <v>14</v>
      </c>
      <c r="K4" s="7" t="s">
        <v>326</v>
      </c>
      <c r="L4" s="7"/>
      <c r="M4" s="7" t="s">
        <v>338</v>
      </c>
      <c r="N4" s="69">
        <v>0.25</v>
      </c>
    </row>
    <row r="5" spans="1:14" ht="28.5" x14ac:dyDescent="0.45">
      <c r="A5" s="5">
        <f>HYPERLINK(Table145354[[#This Row],[Image Path]],Table145354[[#This Row],[Order by Date]])</f>
        <v>4</v>
      </c>
      <c r="B5" s="7" t="s">
        <v>29</v>
      </c>
      <c r="C5" s="13">
        <f t="shared" si="0"/>
        <v>4</v>
      </c>
      <c r="D5" s="21" t="str">
        <f>CONCATENATE("TORS_Documents\",Table145354[[#This Row],[Instrument No.
San Jacinto]],".pdf")</f>
        <v>TORS_Documents\DOTO_ElmoreC-1_Unit.pdf</v>
      </c>
      <c r="E5" s="10"/>
      <c r="F5" s="10"/>
      <c r="G5" s="8" t="s">
        <v>30</v>
      </c>
      <c r="H5" s="14"/>
      <c r="I5" s="14"/>
      <c r="J5" s="7" t="s">
        <v>28</v>
      </c>
      <c r="K5" s="7" t="s">
        <v>326</v>
      </c>
      <c r="L5" s="7"/>
      <c r="M5" s="7" t="s">
        <v>338</v>
      </c>
      <c r="N5" s="69">
        <v>0.25</v>
      </c>
    </row>
    <row r="6" spans="1:14" ht="14.65" thickBot="1" x14ac:dyDescent="0.5">
      <c r="A6" s="141" t="s">
        <v>385</v>
      </c>
      <c r="B6" s="77"/>
      <c r="C6" s="78"/>
      <c r="D6" s="79"/>
      <c r="E6" s="80"/>
      <c r="F6" s="80"/>
      <c r="G6" s="81"/>
      <c r="H6" s="168"/>
      <c r="I6" s="168"/>
      <c r="J6" s="77"/>
      <c r="K6" s="77"/>
      <c r="L6" s="77"/>
      <c r="M6" s="77"/>
      <c r="N6" s="132">
        <f>SUBTOTAL(109,N2:N5)</f>
        <v>1</v>
      </c>
    </row>
    <row r="7" spans="1:14" ht="28.5" x14ac:dyDescent="0.45">
      <c r="A7" s="70">
        <f>HYPERLINK(Table145354[[#This Row],[Image Path]],Table145354[[#This Row],[Order by Date]])</f>
        <v>1</v>
      </c>
      <c r="B7" s="71" t="s">
        <v>12</v>
      </c>
      <c r="C7" s="72">
        <v>1</v>
      </c>
      <c r="D7" s="73" t="str">
        <f>CONCATENATE("TORS_Documents\",Table145354[[#This Row],[Instrument No.
San Jacinto]],".pdf")</f>
        <v>TORS_Documents\2013000463.pdf</v>
      </c>
      <c r="E7" s="72"/>
      <c r="F7" s="72"/>
      <c r="G7" s="74" t="s">
        <v>13</v>
      </c>
      <c r="H7" s="130">
        <v>41304</v>
      </c>
      <c r="I7" s="130">
        <v>41240</v>
      </c>
      <c r="J7" s="71" t="s">
        <v>323</v>
      </c>
      <c r="K7" s="71" t="s">
        <v>322</v>
      </c>
      <c r="L7" s="71" t="s">
        <v>324</v>
      </c>
      <c r="M7" s="71"/>
      <c r="N7" s="29"/>
    </row>
    <row r="8" spans="1:14" ht="28.5" x14ac:dyDescent="0.45">
      <c r="A8" s="15">
        <f>HYPERLINK(Table145354[[#This Row],[Image Path]],Table145354[[#This Row],[Order by Date]])</f>
        <v>2</v>
      </c>
      <c r="B8" s="7" t="s">
        <v>17</v>
      </c>
      <c r="C8" s="13">
        <f>C7+1</f>
        <v>2</v>
      </c>
      <c r="D8" s="16" t="str">
        <f>CONCATENATE("TORS_Documents\",Table145354[[#This Row],[Instrument No.
San Jacinto]],".pdf")</f>
        <v>TORS_Documents\20-519-CP4.pdf</v>
      </c>
      <c r="E8" s="13"/>
      <c r="F8" s="13"/>
      <c r="G8" s="8" t="s">
        <v>18</v>
      </c>
      <c r="H8" s="14">
        <v>44028</v>
      </c>
      <c r="I8" s="14">
        <v>44026</v>
      </c>
      <c r="J8" s="7" t="s">
        <v>26</v>
      </c>
      <c r="K8" s="7" t="s">
        <v>15</v>
      </c>
      <c r="L8" s="7" t="s">
        <v>379</v>
      </c>
      <c r="M8" s="7" t="s">
        <v>380</v>
      </c>
      <c r="N8" s="33"/>
    </row>
    <row r="9" spans="1:14" ht="42.75" x14ac:dyDescent="0.45">
      <c r="A9" s="15">
        <f>HYPERLINK(Table145354[[#This Row],[Image Path]],Table145354[[#This Row],[Order by Date]])</f>
        <v>3</v>
      </c>
      <c r="B9" s="7" t="s">
        <v>81</v>
      </c>
      <c r="C9" s="13">
        <f t="shared" ref="C9" si="1">C8+1</f>
        <v>3</v>
      </c>
      <c r="D9" s="16" t="str">
        <f>CONCATENATE("TORS_Documents\",Table145354[[#This Row],[Instrument No.
San Jacinto]],".pdf")</f>
        <v>TORS_Documents\SurfAgmt_Quellhorst.pdf</v>
      </c>
      <c r="E9" s="13"/>
      <c r="F9" s="13"/>
      <c r="G9" s="8" t="s">
        <v>68</v>
      </c>
      <c r="H9" s="14" t="s">
        <v>21</v>
      </c>
      <c r="I9" s="14">
        <v>45995</v>
      </c>
      <c r="J9" s="7" t="s">
        <v>69</v>
      </c>
      <c r="K9" s="7" t="s">
        <v>70</v>
      </c>
      <c r="L9" s="7" t="s">
        <v>72</v>
      </c>
      <c r="M9" s="7" t="s">
        <v>71</v>
      </c>
      <c r="N9" s="33"/>
    </row>
    <row r="10" spans="1:14" x14ac:dyDescent="0.45">
      <c r="A10" s="6"/>
      <c r="C10" s="13"/>
      <c r="D10" s="21"/>
      <c r="E10" s="13"/>
      <c r="F10" s="13"/>
      <c r="G10" s="8"/>
      <c r="H10" s="11"/>
      <c r="J10" s="7"/>
      <c r="K10" s="7"/>
      <c r="L10" s="7"/>
      <c r="M10" s="7"/>
      <c r="N10" s="36"/>
    </row>
    <row r="17" spans="11:12" x14ac:dyDescent="0.45">
      <c r="L17" s="24" t="s">
        <v>440</v>
      </c>
    </row>
    <row r="21" spans="11:12" x14ac:dyDescent="0.45">
      <c r="K21" s="76"/>
    </row>
  </sheetData>
  <phoneticPr fontId="3" type="noConversion"/>
  <pageMargins left="0.5" right="0.5" top="1" bottom="0.75" header="0.3" footer="0.3"/>
  <pageSetup paperSize="5" scale="64" orientation="landscape" horizontalDpi="1200" verticalDpi="1200" r:id="rId1"/>
  <headerFooter>
    <oddHeader>&amp;LUnit Tract 1 Mineral Title&amp;C&amp;"Calibri,Bold"&amp;16Arcadia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12ED-219E-491E-90E1-A98AD0B2FB2C}">
  <sheetPr>
    <pageSetUpPr fitToPage="1"/>
  </sheetPr>
  <dimension ref="A1:R100"/>
  <sheetViews>
    <sheetView topLeftCell="A86" zoomScale="80" zoomScaleNormal="80" workbookViewId="0">
      <selection activeCell="L5" sqref="L5"/>
    </sheetView>
  </sheetViews>
  <sheetFormatPr defaultColWidth="8.796875" defaultRowHeight="14.25" x14ac:dyDescent="0.45"/>
  <cols>
    <col min="1" max="1" width="15.33203125" style="4" customWidth="1"/>
    <col min="2" max="2" width="14" style="17" customWidth="1"/>
    <col min="3" max="3" width="8.46484375" style="18" hidden="1" customWidth="1"/>
    <col min="4" max="4" width="42.59765625" style="17" hidden="1" customWidth="1"/>
    <col min="5" max="5" width="6.796875" style="18" hidden="1" customWidth="1"/>
    <col min="6" max="6" width="7" style="18" hidden="1" customWidth="1"/>
    <col min="7" max="7" width="15" style="18" customWidth="1"/>
    <col min="8" max="8" width="15.59765625" style="19" customWidth="1"/>
    <col min="9" max="9" width="15.06640625" style="20" customWidth="1"/>
    <col min="10" max="10" width="41.59765625" style="18" customWidth="1"/>
    <col min="11" max="11" width="45.33203125" style="17" customWidth="1"/>
    <col min="12" max="12" width="60.46484375" style="17" customWidth="1"/>
    <col min="13" max="13" width="53.06640625" style="17" customWidth="1"/>
    <col min="14" max="14" width="15.59765625" style="58" customWidth="1"/>
    <col min="15" max="16384" width="8.796875" style="17"/>
  </cols>
  <sheetData>
    <row r="1" spans="1:14" ht="57" customHeight="1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>
        <f>HYPERLINK(Table1453543[[#This Row],[Image Path]],Table1453543[[#This Row],[Order by Date]])</f>
        <v>1</v>
      </c>
      <c r="B2" s="71" t="s">
        <v>29</v>
      </c>
      <c r="C2" s="99">
        <v>1</v>
      </c>
      <c r="D2" s="150" t="str">
        <f>CONCATENATE("TORS_Documents\",Table1453543[[#This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93" t="s">
        <v>31</v>
      </c>
      <c r="K2" s="71" t="s">
        <v>32</v>
      </c>
      <c r="L2" s="71" t="s">
        <v>383</v>
      </c>
      <c r="M2" s="71" t="s">
        <v>454</v>
      </c>
      <c r="N2" s="51"/>
    </row>
    <row r="3" spans="1:14" x14ac:dyDescent="0.45">
      <c r="A3" s="5"/>
      <c r="B3" s="7"/>
      <c r="C3" s="12"/>
      <c r="D3" s="9"/>
      <c r="E3" s="52"/>
      <c r="F3" s="52"/>
      <c r="G3" s="8"/>
      <c r="H3" s="130"/>
      <c r="I3" s="53"/>
      <c r="J3" s="59" t="s">
        <v>538</v>
      </c>
      <c r="K3" s="7" t="s">
        <v>357</v>
      </c>
      <c r="L3" s="7"/>
      <c r="M3" s="9" t="s">
        <v>328</v>
      </c>
      <c r="N3" s="34">
        <f>17/84</f>
        <v>0.20238095238095238</v>
      </c>
    </row>
    <row r="4" spans="1:14" ht="42.75" x14ac:dyDescent="0.45">
      <c r="A4" s="5"/>
      <c r="B4" s="7"/>
      <c r="C4" s="12"/>
      <c r="D4" s="9"/>
      <c r="E4" s="13"/>
      <c r="F4" s="13"/>
      <c r="G4" s="8"/>
      <c r="H4" s="130"/>
      <c r="I4" s="53"/>
      <c r="J4" s="22" t="s">
        <v>329</v>
      </c>
      <c r="K4" s="7" t="s">
        <v>356</v>
      </c>
      <c r="L4" s="7"/>
      <c r="M4" s="54" t="s">
        <v>330</v>
      </c>
      <c r="N4" s="34">
        <f>1/2*25/420</f>
        <v>2.976190476190476E-2</v>
      </c>
    </row>
    <row r="5" spans="1:14" ht="42.75" x14ac:dyDescent="0.45">
      <c r="A5" s="5"/>
      <c r="B5" s="7"/>
      <c r="C5" s="12"/>
      <c r="D5" s="9"/>
      <c r="E5" s="52"/>
      <c r="F5" s="52"/>
      <c r="G5" s="8"/>
      <c r="H5" s="130"/>
      <c r="I5" s="53"/>
      <c r="J5" s="22" t="s">
        <v>384</v>
      </c>
      <c r="K5" s="7" t="s">
        <v>356</v>
      </c>
      <c r="L5" s="7"/>
      <c r="M5" s="54" t="s">
        <v>330</v>
      </c>
      <c r="N5" s="34">
        <f>1/2*25/420</f>
        <v>2.976190476190476E-2</v>
      </c>
    </row>
    <row r="6" spans="1:14" ht="28.5" x14ac:dyDescent="0.45">
      <c r="A6" s="5"/>
      <c r="B6" s="7"/>
      <c r="C6" s="12"/>
      <c r="D6" s="9"/>
      <c r="E6" s="52"/>
      <c r="F6" s="52"/>
      <c r="G6" s="8"/>
      <c r="H6" s="130"/>
      <c r="I6" s="53"/>
      <c r="J6" s="42" t="s">
        <v>236</v>
      </c>
      <c r="K6" s="7" t="s">
        <v>356</v>
      </c>
      <c r="L6" s="7"/>
      <c r="M6" s="54" t="s">
        <v>671</v>
      </c>
      <c r="N6" s="34">
        <f>37/168</f>
        <v>0.22023809523809523</v>
      </c>
    </row>
    <row r="7" spans="1:14" ht="42.75" x14ac:dyDescent="0.45">
      <c r="A7" s="5"/>
      <c r="B7" s="7"/>
      <c r="C7" s="12"/>
      <c r="D7" s="9"/>
      <c r="E7" s="52"/>
      <c r="F7" s="52"/>
      <c r="G7" s="8"/>
      <c r="H7" s="130"/>
      <c r="I7" s="53"/>
      <c r="J7" s="42" t="s">
        <v>237</v>
      </c>
      <c r="K7" s="7" t="s">
        <v>357</v>
      </c>
      <c r="L7" s="7"/>
      <c r="M7" s="55" t="s">
        <v>331</v>
      </c>
      <c r="N7" s="34">
        <f>17/84</f>
        <v>0.20238095238095238</v>
      </c>
    </row>
    <row r="8" spans="1:14" x14ac:dyDescent="0.45">
      <c r="A8" s="5"/>
      <c r="B8" s="7"/>
      <c r="C8" s="12"/>
      <c r="D8" s="9"/>
      <c r="E8" s="52"/>
      <c r="F8" s="52"/>
      <c r="G8" s="8"/>
      <c r="H8" s="130"/>
      <c r="I8" s="53"/>
      <c r="J8" s="22" t="s">
        <v>108</v>
      </c>
      <c r="K8" s="7" t="s">
        <v>356</v>
      </c>
      <c r="L8" s="7"/>
      <c r="M8" s="9" t="s">
        <v>332</v>
      </c>
      <c r="N8" s="34">
        <v>6.7460320000000004E-2</v>
      </c>
    </row>
    <row r="9" spans="1:14" x14ac:dyDescent="0.45">
      <c r="A9" s="5"/>
      <c r="B9" s="7"/>
      <c r="C9" s="12"/>
      <c r="D9" s="9"/>
      <c r="E9" s="52"/>
      <c r="F9" s="52"/>
      <c r="G9" s="8"/>
      <c r="H9" s="130"/>
      <c r="I9" s="53"/>
      <c r="J9" s="22" t="s">
        <v>238</v>
      </c>
      <c r="K9" s="7" t="s">
        <v>355</v>
      </c>
      <c r="L9" s="7"/>
      <c r="M9" s="9" t="s">
        <v>333</v>
      </c>
      <c r="N9" s="34">
        <v>3.3730160000000002E-2</v>
      </c>
    </row>
    <row r="10" spans="1:14" x14ac:dyDescent="0.45">
      <c r="A10" s="5"/>
      <c r="B10" s="7"/>
      <c r="C10" s="12"/>
      <c r="D10" s="9"/>
      <c r="E10" s="52"/>
      <c r="F10" s="52"/>
      <c r="G10" s="8"/>
      <c r="H10" s="130"/>
      <c r="I10" s="53"/>
      <c r="J10" s="22" t="s">
        <v>111</v>
      </c>
      <c r="K10" s="7" t="s">
        <v>357</v>
      </c>
      <c r="L10" s="7"/>
      <c r="M10" s="9" t="s">
        <v>333</v>
      </c>
      <c r="N10" s="34">
        <v>3.3730160000000002E-2</v>
      </c>
    </row>
    <row r="11" spans="1:14" x14ac:dyDescent="0.45">
      <c r="A11" s="5"/>
      <c r="B11" s="7"/>
      <c r="C11" s="12"/>
      <c r="D11" s="9"/>
      <c r="E11" s="52"/>
      <c r="F11" s="52"/>
      <c r="G11" s="8"/>
      <c r="H11" s="130"/>
      <c r="I11" s="53"/>
      <c r="J11" s="22" t="s">
        <v>112</v>
      </c>
      <c r="K11" s="7" t="s">
        <v>357</v>
      </c>
      <c r="L11" s="7"/>
      <c r="M11" s="9" t="s">
        <v>334</v>
      </c>
      <c r="N11" s="34">
        <v>2.248677E-2</v>
      </c>
    </row>
    <row r="12" spans="1:14" x14ac:dyDescent="0.45">
      <c r="A12" s="5"/>
      <c r="B12" s="7"/>
      <c r="C12" s="12"/>
      <c r="D12" s="9"/>
      <c r="E12" s="52"/>
      <c r="F12" s="52"/>
      <c r="G12" s="8"/>
      <c r="H12" s="130"/>
      <c r="I12" s="53"/>
      <c r="J12" s="22" t="s">
        <v>239</v>
      </c>
      <c r="K12" s="7" t="s">
        <v>357</v>
      </c>
      <c r="L12" s="7"/>
      <c r="M12" s="9" t="s">
        <v>334</v>
      </c>
      <c r="N12" s="34">
        <v>2.248677E-2</v>
      </c>
    </row>
    <row r="13" spans="1:14" x14ac:dyDescent="0.45">
      <c r="A13" s="5"/>
      <c r="B13" s="7"/>
      <c r="C13" s="12"/>
      <c r="D13" s="9"/>
      <c r="E13" s="52"/>
      <c r="F13" s="52"/>
      <c r="G13" s="8"/>
      <c r="H13" s="130"/>
      <c r="I13" s="53"/>
      <c r="J13" s="22" t="s">
        <v>240</v>
      </c>
      <c r="K13" s="7" t="s">
        <v>356</v>
      </c>
      <c r="L13" s="7"/>
      <c r="M13" s="9" t="s">
        <v>335</v>
      </c>
      <c r="N13" s="34">
        <v>1.1243390000000001E-2</v>
      </c>
    </row>
    <row r="14" spans="1:14" x14ac:dyDescent="0.45">
      <c r="A14" s="5"/>
      <c r="B14" s="7"/>
      <c r="C14" s="12"/>
      <c r="D14" s="9"/>
      <c r="E14" s="52"/>
      <c r="F14" s="52"/>
      <c r="G14" s="8"/>
      <c r="H14" s="130"/>
      <c r="I14" s="53"/>
      <c r="J14" s="22" t="s">
        <v>241</v>
      </c>
      <c r="K14" s="7" t="s">
        <v>357</v>
      </c>
      <c r="L14" s="7"/>
      <c r="M14" s="9" t="s">
        <v>335</v>
      </c>
      <c r="N14" s="34">
        <v>1.1243390000000001E-2</v>
      </c>
    </row>
    <row r="15" spans="1:14" x14ac:dyDescent="0.45">
      <c r="A15" s="5"/>
      <c r="B15" s="7"/>
      <c r="C15" s="12"/>
      <c r="D15" s="9"/>
      <c r="E15" s="52"/>
      <c r="F15" s="52"/>
      <c r="G15" s="8"/>
      <c r="H15" s="130"/>
      <c r="I15" s="53"/>
      <c r="J15" s="22" t="s">
        <v>242</v>
      </c>
      <c r="K15" s="7" t="s">
        <v>356</v>
      </c>
      <c r="L15" s="7"/>
      <c r="M15" s="9" t="s">
        <v>336</v>
      </c>
      <c r="N15" s="34">
        <v>2.232143E-2</v>
      </c>
    </row>
    <row r="16" spans="1:14" x14ac:dyDescent="0.45">
      <c r="A16" s="5"/>
      <c r="B16" s="7"/>
      <c r="C16" s="12"/>
      <c r="D16" s="9"/>
      <c r="E16" s="52"/>
      <c r="F16" s="52"/>
      <c r="G16" s="8"/>
      <c r="H16" s="130"/>
      <c r="I16" s="53"/>
      <c r="J16" s="22" t="s">
        <v>243</v>
      </c>
      <c r="K16" s="7" t="s">
        <v>356</v>
      </c>
      <c r="L16" s="7"/>
      <c r="M16" s="55" t="s">
        <v>336</v>
      </c>
      <c r="N16" s="34">
        <v>2.232143E-2</v>
      </c>
    </row>
    <row r="17" spans="1:14" x14ac:dyDescent="0.45">
      <c r="A17" s="5"/>
      <c r="B17" s="7"/>
      <c r="C17" s="12"/>
      <c r="D17" s="9"/>
      <c r="E17" s="52"/>
      <c r="F17" s="52"/>
      <c r="G17" s="8"/>
      <c r="H17" s="130"/>
      <c r="I17" s="53"/>
      <c r="J17" s="22" t="s">
        <v>244</v>
      </c>
      <c r="K17" s="7" t="s">
        <v>355</v>
      </c>
      <c r="L17" s="7"/>
      <c r="M17" s="55" t="s">
        <v>336</v>
      </c>
      <c r="N17" s="34">
        <v>2.232143E-2</v>
      </c>
    </row>
    <row r="18" spans="1:14" x14ac:dyDescent="0.45">
      <c r="A18" s="5"/>
      <c r="B18" s="7"/>
      <c r="C18" s="12"/>
      <c r="D18" s="9"/>
      <c r="E18" s="52"/>
      <c r="F18" s="52"/>
      <c r="G18" s="8"/>
      <c r="H18" s="130"/>
      <c r="I18" s="53"/>
      <c r="J18" s="22" t="s">
        <v>245</v>
      </c>
      <c r="K18" s="56" t="s">
        <v>355</v>
      </c>
      <c r="L18" s="7"/>
      <c r="M18" s="55" t="s">
        <v>336</v>
      </c>
      <c r="N18" s="34">
        <v>2.232143E-2</v>
      </c>
    </row>
    <row r="19" spans="1:14" x14ac:dyDescent="0.45">
      <c r="A19" s="5"/>
      <c r="B19" s="7"/>
      <c r="C19" s="12"/>
      <c r="D19" s="9"/>
      <c r="E19" s="13"/>
      <c r="F19" s="13"/>
      <c r="G19" s="8"/>
      <c r="H19" s="130"/>
      <c r="I19" s="53"/>
      <c r="J19" s="22" t="s">
        <v>256</v>
      </c>
      <c r="K19" s="7" t="s">
        <v>356</v>
      </c>
      <c r="L19" s="7"/>
      <c r="M19" s="7" t="s">
        <v>337</v>
      </c>
      <c r="N19" s="34">
        <v>5.9523800000000002E-3</v>
      </c>
    </row>
    <row r="20" spans="1:14" x14ac:dyDescent="0.45">
      <c r="A20" s="5"/>
      <c r="B20" s="7"/>
      <c r="C20" s="12"/>
      <c r="D20" s="9"/>
      <c r="E20" s="13"/>
      <c r="F20" s="13"/>
      <c r="G20" s="8"/>
      <c r="H20" s="130"/>
      <c r="I20" s="53"/>
      <c r="J20" s="22" t="s">
        <v>257</v>
      </c>
      <c r="K20" s="7" t="s">
        <v>356</v>
      </c>
      <c r="L20" s="7"/>
      <c r="M20" s="7" t="s">
        <v>337</v>
      </c>
      <c r="N20" s="34">
        <v>5.9523800000000002E-3</v>
      </c>
    </row>
    <row r="21" spans="1:14" x14ac:dyDescent="0.45">
      <c r="A21" s="5"/>
      <c r="B21" s="7"/>
      <c r="C21" s="12"/>
      <c r="D21" s="9"/>
      <c r="E21" s="13"/>
      <c r="F21" s="13"/>
      <c r="G21" s="8"/>
      <c r="H21" s="130"/>
      <c r="I21" s="53"/>
      <c r="J21" s="22" t="s">
        <v>258</v>
      </c>
      <c r="K21" s="7" t="s">
        <v>356</v>
      </c>
      <c r="L21" s="7"/>
      <c r="M21" s="7" t="s">
        <v>337</v>
      </c>
      <c r="N21" s="34">
        <v>5.9523800000000002E-3</v>
      </c>
    </row>
    <row r="22" spans="1:14" x14ac:dyDescent="0.45">
      <c r="A22" s="5"/>
      <c r="B22" s="7"/>
      <c r="C22" s="12"/>
      <c r="D22" s="9"/>
      <c r="E22" s="13"/>
      <c r="F22" s="13"/>
      <c r="G22" s="8"/>
      <c r="H22" s="130"/>
      <c r="I22" s="53"/>
      <c r="J22" s="22" t="s">
        <v>259</v>
      </c>
      <c r="K22" s="7" t="s">
        <v>356</v>
      </c>
      <c r="L22" s="7"/>
      <c r="M22" s="7" t="s">
        <v>337</v>
      </c>
      <c r="N22" s="34">
        <v>5.9523800000000002E-3</v>
      </c>
    </row>
    <row r="23" spans="1:14" ht="14.65" thickBot="1" x14ac:dyDescent="0.5">
      <c r="A23" s="141" t="s">
        <v>385</v>
      </c>
      <c r="B23" s="77"/>
      <c r="C23" s="78"/>
      <c r="D23" s="79"/>
      <c r="E23" s="80"/>
      <c r="F23" s="80"/>
      <c r="G23" s="81"/>
      <c r="H23" s="81"/>
      <c r="I23" s="82"/>
      <c r="J23" s="77"/>
      <c r="K23" s="77"/>
      <c r="L23" s="77"/>
      <c r="M23" s="77"/>
      <c r="N23" s="132">
        <f>SUBTOTAL(109,N2:N22)</f>
        <v>1.0000000095238093</v>
      </c>
    </row>
    <row r="24" spans="1:14" ht="28.5" x14ac:dyDescent="0.45">
      <c r="A24" s="5">
        <f>HYPERLINK(Table1453543[[#This Row],[Image Path]],Table1453543[[#This Row],[Order by Date]])</f>
        <v>1</v>
      </c>
      <c r="B24" s="7" t="s">
        <v>151</v>
      </c>
      <c r="C24" s="12">
        <v>1</v>
      </c>
      <c r="D24" s="9" t="str">
        <f>CONCATENATE("TORS_Documents\",Table1453543[[#This Row],[Instrument No.
San Jacinto]],".pdf")</f>
        <v>TORS_Documents\09-3821.pdf</v>
      </c>
      <c r="E24" s="13"/>
      <c r="F24" s="13"/>
      <c r="G24" s="8" t="s">
        <v>386</v>
      </c>
      <c r="H24" s="14">
        <v>39981</v>
      </c>
      <c r="I24" s="14">
        <v>38657</v>
      </c>
      <c r="J24" s="22" t="s">
        <v>148</v>
      </c>
      <c r="K24" s="7" t="s">
        <v>149</v>
      </c>
      <c r="L24" s="7" t="s">
        <v>150</v>
      </c>
      <c r="M24" s="7" t="s">
        <v>387</v>
      </c>
      <c r="N24" s="34"/>
    </row>
    <row r="25" spans="1:14" ht="42.75" x14ac:dyDescent="0.45">
      <c r="A25" s="5">
        <f>HYPERLINK(Table1453543[[#This Row],[Image Path]],Table1453543[[#This Row],[Order by Date]])</f>
        <v>2</v>
      </c>
      <c r="B25" s="7" t="s">
        <v>415</v>
      </c>
      <c r="C25" s="12">
        <f t="shared" ref="C25:C56" si="0">C24+1</f>
        <v>2</v>
      </c>
      <c r="D25" s="9" t="str">
        <f>CONCATENATE("TORS_Documents\",Table1453543[[#This Row],[Instrument No.
San Jacinto]],".pdf")</f>
        <v>TORS_Documents\10-5146.pdf</v>
      </c>
      <c r="E25" s="13"/>
      <c r="F25" s="13"/>
      <c r="G25" s="8" t="s">
        <v>430</v>
      </c>
      <c r="H25" s="14">
        <v>40448</v>
      </c>
      <c r="I25" s="14">
        <v>40448</v>
      </c>
      <c r="J25" s="22" t="s">
        <v>329</v>
      </c>
      <c r="K25" s="7" t="s">
        <v>490</v>
      </c>
      <c r="L25" s="7" t="s">
        <v>489</v>
      </c>
      <c r="M25" s="7" t="s">
        <v>491</v>
      </c>
      <c r="N25" s="34"/>
    </row>
    <row r="26" spans="1:14" ht="58.9" customHeight="1" x14ac:dyDescent="0.45">
      <c r="A26" s="5">
        <f>HYPERLINK(Table1453543[[#This Row],[Image Path]],Table1453543[[#This Row],[Order by Date]])</f>
        <v>3</v>
      </c>
      <c r="B26" s="7" t="s">
        <v>415</v>
      </c>
      <c r="C26" s="12">
        <f t="shared" si="0"/>
        <v>3</v>
      </c>
      <c r="D26" s="9" t="str">
        <f>CONCATENATE("TORS_Documents\",Table1453543[[#This Row],[Instrument No.
San Jacinto]],".pdf")</f>
        <v>TORS_Documents\10-5147.pdf</v>
      </c>
      <c r="E26" s="13"/>
      <c r="F26" s="13"/>
      <c r="G26" s="8" t="s">
        <v>429</v>
      </c>
      <c r="H26" s="14">
        <v>40448</v>
      </c>
      <c r="I26" s="14">
        <v>40448</v>
      </c>
      <c r="J26" s="22" t="s">
        <v>384</v>
      </c>
      <c r="K26" s="7" t="s">
        <v>488</v>
      </c>
      <c r="L26" s="7" t="s">
        <v>489</v>
      </c>
      <c r="M26" s="7" t="s">
        <v>491</v>
      </c>
      <c r="N26" s="34"/>
    </row>
    <row r="27" spans="1:14" ht="71.25" x14ac:dyDescent="0.45">
      <c r="A27" s="2">
        <f>HYPERLINK(Table1453543[[#This Row],[Image Path]],Table1453543[[#This Row],[Order by Date]])</f>
        <v>4</v>
      </c>
      <c r="B27" s="7" t="s">
        <v>398</v>
      </c>
      <c r="C27" s="12">
        <f t="shared" si="0"/>
        <v>4</v>
      </c>
      <c r="D27" s="9" t="str">
        <f>CONCATENATE("TORS_Documents\",Table1453543[[#This Row],[Instrument No.
San Jacinto]],".pdf")</f>
        <v>TORS_Documents\10-6043.pdf</v>
      </c>
      <c r="E27" s="13"/>
      <c r="F27" s="13"/>
      <c r="G27" s="8" t="s">
        <v>404</v>
      </c>
      <c r="H27" s="14">
        <v>40497</v>
      </c>
      <c r="I27" s="14">
        <v>40487</v>
      </c>
      <c r="J27" s="22" t="s">
        <v>405</v>
      </c>
      <c r="K27" s="7" t="s">
        <v>402</v>
      </c>
      <c r="L27" s="7" t="s">
        <v>403</v>
      </c>
      <c r="M27" s="7" t="s">
        <v>401</v>
      </c>
      <c r="N27" s="34"/>
    </row>
    <row r="28" spans="1:14" ht="71.25" x14ac:dyDescent="0.45">
      <c r="A28" s="2">
        <f>HYPERLINK(Table1453543[[#This Row],[Image Path]],Table1453543[[#This Row],[Order by Date]])</f>
        <v>5</v>
      </c>
      <c r="B28" s="7" t="s">
        <v>398</v>
      </c>
      <c r="C28" s="12">
        <f t="shared" si="0"/>
        <v>5</v>
      </c>
      <c r="D28" s="9" t="str">
        <f>CONCATENATE("TORS_Documents\",Table1453543[[#This Row],[Instrument No.
San Jacinto]],".pdf")</f>
        <v>TORS_Documents\10-6044.pdf</v>
      </c>
      <c r="E28" s="13"/>
      <c r="F28" s="13"/>
      <c r="G28" s="8" t="s">
        <v>399</v>
      </c>
      <c r="H28" s="14">
        <v>40497</v>
      </c>
      <c r="I28" s="14">
        <v>40487</v>
      </c>
      <c r="J28" s="22" t="s">
        <v>400</v>
      </c>
      <c r="K28" s="7" t="s">
        <v>402</v>
      </c>
      <c r="L28" s="7" t="s">
        <v>403</v>
      </c>
      <c r="M28" s="7" t="s">
        <v>401</v>
      </c>
      <c r="N28" s="34"/>
    </row>
    <row r="29" spans="1:14" ht="28.5" x14ac:dyDescent="0.45">
      <c r="A29" s="5">
        <f>HYPERLINK(Table1453543[[#This Row],[Image Path]],Table1453543[[#This Row],[Order by Date]])</f>
        <v>6</v>
      </c>
      <c r="B29" s="7" t="s">
        <v>389</v>
      </c>
      <c r="C29" s="12">
        <f t="shared" si="0"/>
        <v>6</v>
      </c>
      <c r="D29" s="9" t="str">
        <f>CONCATENATE("TORS_Documents\",Table1453543[[#This Row],[Instrument No.
San Jacinto]],".pdf")</f>
        <v>TORS_Documents\11-4768.pdf</v>
      </c>
      <c r="E29" s="13"/>
      <c r="F29" s="13"/>
      <c r="G29" s="8" t="s">
        <v>388</v>
      </c>
      <c r="H29" s="14">
        <v>40801</v>
      </c>
      <c r="I29" s="14">
        <v>40542</v>
      </c>
      <c r="J29" s="22" t="s">
        <v>188</v>
      </c>
      <c r="K29" s="7" t="s">
        <v>189</v>
      </c>
      <c r="L29" s="7" t="s">
        <v>390</v>
      </c>
      <c r="M29" s="7"/>
      <c r="N29" s="34"/>
    </row>
    <row r="30" spans="1:14" ht="42.75" x14ac:dyDescent="0.45">
      <c r="A30" s="5">
        <f>HYPERLINK(Table1453543[[#This Row],[Image Path]],Table1453543[[#This Row],[Order by Date]])</f>
        <v>7</v>
      </c>
      <c r="B30" s="7" t="s">
        <v>275</v>
      </c>
      <c r="C30" s="12">
        <f t="shared" si="0"/>
        <v>7</v>
      </c>
      <c r="D30" s="9" t="str">
        <f>CONCATENATE("TORS_Documents\",Table1453543[[#This Row],[Instrument No.
San Jacinto]],".pdf")</f>
        <v>TORS_Documents\2012006700.pdf</v>
      </c>
      <c r="E30" s="13"/>
      <c r="F30" s="13"/>
      <c r="G30" s="8" t="s">
        <v>426</v>
      </c>
      <c r="H30" s="14">
        <v>41263</v>
      </c>
      <c r="I30" s="14">
        <v>40909</v>
      </c>
      <c r="J30" s="22" t="s">
        <v>193</v>
      </c>
      <c r="K30" s="7" t="s">
        <v>392</v>
      </c>
      <c r="L30" s="7" t="s">
        <v>391</v>
      </c>
      <c r="M30" s="7"/>
      <c r="N30" s="34"/>
    </row>
    <row r="31" spans="1:14" ht="28.5" x14ac:dyDescent="0.45">
      <c r="A31" s="5">
        <f>HYPERLINK(Table1453543[[#This Row],[Image Path]],Table1453543[[#This Row],[Order by Date]])</f>
        <v>8</v>
      </c>
      <c r="B31" s="7" t="s">
        <v>200</v>
      </c>
      <c r="C31" s="12">
        <f t="shared" si="0"/>
        <v>8</v>
      </c>
      <c r="D31" s="9" t="str">
        <f>CONCATENATE("TORS_Documents\",Table1453543[[#This Row],[Instrument No.
San Jacinto]],".pdf")</f>
        <v>TORS_Documents\2012006703.pdf</v>
      </c>
      <c r="E31" s="13"/>
      <c r="F31" s="13"/>
      <c r="G31" s="8" t="s">
        <v>427</v>
      </c>
      <c r="H31" s="14">
        <v>41263</v>
      </c>
      <c r="I31" s="14">
        <v>41244</v>
      </c>
      <c r="J31" s="22" t="s">
        <v>194</v>
      </c>
      <c r="K31" s="7" t="s">
        <v>196</v>
      </c>
      <c r="L31" s="7" t="s">
        <v>391</v>
      </c>
      <c r="M31" s="7"/>
      <c r="N31" s="34"/>
    </row>
    <row r="32" spans="1:14" ht="28.5" x14ac:dyDescent="0.45">
      <c r="A32" s="5">
        <f>HYPERLINK(Table1453543[[#This Row],[Image Path]],Table1453543[[#This Row],[Order by Date]])</f>
        <v>9</v>
      </c>
      <c r="B32" s="7" t="s">
        <v>198</v>
      </c>
      <c r="C32" s="12">
        <f t="shared" si="0"/>
        <v>9</v>
      </c>
      <c r="D32" s="9" t="str">
        <f>CONCATENATE("TORS_Documents\",Table1453543[[#This Row],[Instrument No.
San Jacinto]],".pdf")</f>
        <v>TORS_Documents\2012006704.pdf</v>
      </c>
      <c r="E32" s="13"/>
      <c r="F32" s="13"/>
      <c r="G32" s="8" t="s">
        <v>428</v>
      </c>
      <c r="H32" s="14">
        <v>41263</v>
      </c>
      <c r="I32" s="14">
        <v>41244</v>
      </c>
      <c r="J32" s="22" t="s">
        <v>190</v>
      </c>
      <c r="K32" s="7" t="s">
        <v>191</v>
      </c>
      <c r="L32" s="7" t="s">
        <v>391</v>
      </c>
      <c r="M32" s="7"/>
      <c r="N32" s="34"/>
    </row>
    <row r="33" spans="1:18" ht="71.25" x14ac:dyDescent="0.45">
      <c r="A33" s="2">
        <f>HYPERLINK(Table1453543[[#This Row],[Image Path]],Table1453543[[#This Row],[Order by Date]])</f>
        <v>10</v>
      </c>
      <c r="B33" s="7" t="s">
        <v>205</v>
      </c>
      <c r="C33" s="12">
        <f t="shared" si="0"/>
        <v>10</v>
      </c>
      <c r="D33" s="9" t="str">
        <f>CONCATENATE("TORS_Documents\",Table1453543[[#This Row],[Instrument No.
San Jacinto]],".pdf")</f>
        <v>TORS_Documents\2014001942.pdf</v>
      </c>
      <c r="E33" s="13"/>
      <c r="F33" s="13"/>
      <c r="G33" s="8" t="s">
        <v>407</v>
      </c>
      <c r="H33" s="14">
        <v>41744</v>
      </c>
      <c r="I33" s="14">
        <v>41528</v>
      </c>
      <c r="J33" s="22" t="s">
        <v>408</v>
      </c>
      <c r="K33" s="7" t="s">
        <v>34</v>
      </c>
      <c r="L33" s="7"/>
      <c r="M33" s="7" t="s">
        <v>396</v>
      </c>
      <c r="N33" s="34"/>
    </row>
    <row r="34" spans="1:18" ht="71.25" x14ac:dyDescent="0.45">
      <c r="A34" s="5">
        <f>HYPERLINK(Table1453543[[#This Row],[Image Path]],Table1453543[[#This Row],[Order by Date]])</f>
        <v>11</v>
      </c>
      <c r="B34" s="7" t="s">
        <v>205</v>
      </c>
      <c r="C34" s="12">
        <f t="shared" si="0"/>
        <v>11</v>
      </c>
      <c r="D34" s="9" t="str">
        <f>CONCATENATE("TORS_Documents\",Table1453543[[#This Row],[Instrument No.
San Jacinto]],".pdf")</f>
        <v>TORS_Documents\2014001943.pdf</v>
      </c>
      <c r="E34" s="13"/>
      <c r="F34" s="13"/>
      <c r="G34" s="8" t="s">
        <v>201</v>
      </c>
      <c r="H34" s="14">
        <v>41744</v>
      </c>
      <c r="I34" s="14">
        <v>41528</v>
      </c>
      <c r="J34" s="22" t="s">
        <v>393</v>
      </c>
      <c r="K34" s="7" t="s">
        <v>34</v>
      </c>
      <c r="L34" s="7"/>
      <c r="M34" s="7" t="s">
        <v>396</v>
      </c>
      <c r="N34" s="34"/>
    </row>
    <row r="35" spans="1:18" ht="42.75" x14ac:dyDescent="0.45">
      <c r="A35" s="5">
        <f>HYPERLINK(Table1453543[[#This Row],[Image Path]],Table1453543[[#This Row],[Order by Date]])</f>
        <v>12</v>
      </c>
      <c r="B35" s="7" t="s">
        <v>206</v>
      </c>
      <c r="C35" s="12">
        <f t="shared" si="0"/>
        <v>12</v>
      </c>
      <c r="D35" s="9" t="str">
        <f>CONCATENATE("TORS_Documents\",Table1453543[[#This Row],[Instrument No.
San Jacinto]],".pdf")</f>
        <v>TORS_Documents\2014001940.pdf</v>
      </c>
      <c r="E35" s="13"/>
      <c r="F35" s="13"/>
      <c r="G35" s="8" t="s">
        <v>202</v>
      </c>
      <c r="H35" s="14">
        <v>41744</v>
      </c>
      <c r="I35" s="14">
        <v>41526</v>
      </c>
      <c r="J35" s="22" t="s">
        <v>395</v>
      </c>
      <c r="K35" s="7" t="s">
        <v>34</v>
      </c>
      <c r="L35" s="7"/>
      <c r="M35" s="7" t="s">
        <v>406</v>
      </c>
      <c r="N35" s="34"/>
    </row>
    <row r="36" spans="1:18" ht="42.75" x14ac:dyDescent="0.45">
      <c r="A36" s="5">
        <f>HYPERLINK(Table1453543[[#This Row],[Image Path]],Table1453543[[#This Row],[Order by Date]])</f>
        <v>13</v>
      </c>
      <c r="B36" s="7" t="s">
        <v>206</v>
      </c>
      <c r="C36" s="12">
        <f t="shared" si="0"/>
        <v>13</v>
      </c>
      <c r="D36" s="9" t="str">
        <f>CONCATENATE("TORS_Documents\",Table1453543[[#This Row],[Instrument No.
San Jacinto]],".pdf")</f>
        <v>TORS_Documents\2014001941.pdf</v>
      </c>
      <c r="E36" s="13"/>
      <c r="F36" s="13"/>
      <c r="G36" s="8" t="s">
        <v>203</v>
      </c>
      <c r="H36" s="14">
        <v>41744</v>
      </c>
      <c r="I36" s="14">
        <v>41526</v>
      </c>
      <c r="J36" s="22" t="s">
        <v>395</v>
      </c>
      <c r="K36" s="7" t="s">
        <v>34</v>
      </c>
      <c r="L36" s="7"/>
      <c r="M36" s="7" t="s">
        <v>394</v>
      </c>
      <c r="N36" s="34"/>
    </row>
    <row r="37" spans="1:18" ht="28.5" x14ac:dyDescent="0.45">
      <c r="A37" s="5">
        <f>HYPERLINK(Table1453543[[#This Row],[Image Path]],Table1453543[[#This Row],[Order by Date]])</f>
        <v>14</v>
      </c>
      <c r="B37" s="7" t="s">
        <v>219</v>
      </c>
      <c r="C37" s="12">
        <f t="shared" si="0"/>
        <v>14</v>
      </c>
      <c r="D37" s="9" t="str">
        <f>CONCATENATE("TORS_Documents\",Table1453543[[#This Row],[Instrument No.
San Jacinto]],".pdf")</f>
        <v>TORS_Documents\20172674.pdf</v>
      </c>
      <c r="E37" s="13"/>
      <c r="F37" s="13"/>
      <c r="G37" s="8" t="s">
        <v>216</v>
      </c>
      <c r="H37" s="14">
        <v>42871</v>
      </c>
      <c r="I37" s="14">
        <v>42853</v>
      </c>
      <c r="J37" s="22" t="s">
        <v>217</v>
      </c>
      <c r="K37" s="7" t="s">
        <v>34</v>
      </c>
      <c r="L37" s="7"/>
      <c r="M37" s="7" t="s">
        <v>218</v>
      </c>
      <c r="N37" s="34"/>
    </row>
    <row r="38" spans="1:18" ht="57" x14ac:dyDescent="0.45">
      <c r="A38" s="5">
        <f>HYPERLINK(Table1453543[[#This Row],[Image Path]],Table1453543[[#This Row],[Order by Date]])</f>
        <v>15</v>
      </c>
      <c r="B38" s="7" t="s">
        <v>208</v>
      </c>
      <c r="C38" s="12">
        <f t="shared" si="0"/>
        <v>15</v>
      </c>
      <c r="D38" s="9" t="str">
        <f>CONCATENATE("TORS_Documents\",Table1453543[[#This Row],[Instrument No.
San Jacinto]],".pdf")</f>
        <v>TORS_Documents\20172985.pdf</v>
      </c>
      <c r="E38" s="13"/>
      <c r="F38" s="13"/>
      <c r="G38" s="8" t="s">
        <v>207</v>
      </c>
      <c r="H38" s="14">
        <v>42885</v>
      </c>
      <c r="I38" s="14">
        <v>42873</v>
      </c>
      <c r="J38" s="22" t="s">
        <v>204</v>
      </c>
      <c r="K38" s="7" t="s">
        <v>115</v>
      </c>
      <c r="L38" s="7" t="s">
        <v>397</v>
      </c>
      <c r="M38" s="7"/>
      <c r="N38" s="34"/>
    </row>
    <row r="39" spans="1:18" ht="42.75" x14ac:dyDescent="0.45">
      <c r="A39" s="5">
        <f>HYPERLINK(Table1453543[[#This Row],[Image Path]],Table1453543[[#This Row],[Order by Date]])</f>
        <v>16</v>
      </c>
      <c r="B39" s="7" t="s">
        <v>539</v>
      </c>
      <c r="C39" s="12">
        <f t="shared" si="0"/>
        <v>16</v>
      </c>
      <c r="D39" s="9" t="str">
        <f>CONCATENATE("TORS_Documents\",Table1453543[[#This Row],[Instrument No.
San Jacinto]],".pdf")</f>
        <v>TORS_Documents\20172986.pdf</v>
      </c>
      <c r="E39" s="13"/>
      <c r="F39" s="13"/>
      <c r="G39" s="8" t="s">
        <v>573</v>
      </c>
      <c r="H39" s="14">
        <v>42885</v>
      </c>
      <c r="I39" s="14">
        <v>42873</v>
      </c>
      <c r="J39" s="22" t="s">
        <v>115</v>
      </c>
      <c r="K39" s="7" t="s">
        <v>574</v>
      </c>
      <c r="L39" s="7" t="s">
        <v>575</v>
      </c>
      <c r="M39" s="7" t="s">
        <v>576</v>
      </c>
      <c r="N39" s="34"/>
    </row>
    <row r="40" spans="1:18" ht="42.75" x14ac:dyDescent="0.45">
      <c r="A40" s="5">
        <f>HYPERLINK(Table1453543[[#This Row],[Image Path]],Table1453543[[#This Row],[Order by Date]])</f>
        <v>17</v>
      </c>
      <c r="B40" s="7" t="s">
        <v>389</v>
      </c>
      <c r="C40" s="12">
        <f t="shared" si="0"/>
        <v>17</v>
      </c>
      <c r="D40" s="9" t="str">
        <f>CONCATENATE("TORS_Documents\",Table1453543[[#This Row],[Instrument No.
San Jacinto]],".pdf")</f>
        <v>TORS_Documents\20174126.pdf</v>
      </c>
      <c r="E40" s="13"/>
      <c r="F40" s="13"/>
      <c r="G40" s="8" t="s">
        <v>222</v>
      </c>
      <c r="H40" s="14">
        <v>42933</v>
      </c>
      <c r="I40" s="14">
        <v>42912</v>
      </c>
      <c r="J40" s="22" t="s">
        <v>223</v>
      </c>
      <c r="K40" s="7" t="s">
        <v>501</v>
      </c>
      <c r="L40" s="7" t="s">
        <v>16</v>
      </c>
      <c r="M40" s="7" t="s">
        <v>500</v>
      </c>
      <c r="N40" s="34"/>
    </row>
    <row r="41" spans="1:18" ht="42.75" x14ac:dyDescent="0.45">
      <c r="A41" s="5">
        <f>HYPERLINK(Table1453543[[#This Row],[Image Path]],Table1453543[[#This Row],[Order by Date]])</f>
        <v>18</v>
      </c>
      <c r="B41" s="7" t="s">
        <v>228</v>
      </c>
      <c r="C41" s="12">
        <f t="shared" si="0"/>
        <v>18</v>
      </c>
      <c r="D41" s="9" t="str">
        <f>CONCATENATE("TORS_Documents\",Table1453543[[#This Row],[Instrument No.
San Jacinto]],".pdf")</f>
        <v>TORS_Documents\20191765.pdf</v>
      </c>
      <c r="E41" s="13"/>
      <c r="F41" s="13"/>
      <c r="G41" s="8" t="s">
        <v>225</v>
      </c>
      <c r="H41" s="14">
        <v>43549</v>
      </c>
      <c r="I41" s="14">
        <v>43545</v>
      </c>
      <c r="J41" s="22" t="s">
        <v>242</v>
      </c>
      <c r="K41" s="7" t="s">
        <v>227</v>
      </c>
      <c r="L41" s="7" t="s">
        <v>507</v>
      </c>
      <c r="M41" s="7" t="s">
        <v>506</v>
      </c>
      <c r="N41" s="34"/>
    </row>
    <row r="42" spans="1:18" ht="99.75" x14ac:dyDescent="0.45">
      <c r="A42" s="5">
        <f>HYPERLINK(Table1453543[[#This Row],[Image Path]],Table1453543[[#This Row],[Order by Date]])</f>
        <v>19</v>
      </c>
      <c r="B42" s="7" t="s">
        <v>539</v>
      </c>
      <c r="C42" s="12">
        <f t="shared" si="0"/>
        <v>19</v>
      </c>
      <c r="D42" s="9" t="str">
        <f>CONCATENATE("TORS_Documents\",Table1453543[[#This Row],[Instrument No.
San Jacinto]],".pdf")</f>
        <v>TORS_Documents\20193637.pdf</v>
      </c>
      <c r="E42" s="13"/>
      <c r="F42" s="13"/>
      <c r="G42" s="8" t="s">
        <v>577</v>
      </c>
      <c r="H42" s="14">
        <v>43630</v>
      </c>
      <c r="I42" s="14">
        <v>43630</v>
      </c>
      <c r="J42" s="22" t="s">
        <v>115</v>
      </c>
      <c r="K42" s="7" t="s">
        <v>578</v>
      </c>
      <c r="L42" s="7" t="s">
        <v>397</v>
      </c>
      <c r="M42" s="7" t="s">
        <v>579</v>
      </c>
      <c r="N42" s="34"/>
    </row>
    <row r="43" spans="1:18" ht="42.75" x14ac:dyDescent="0.45">
      <c r="A43" s="5">
        <f>HYPERLINK(Table1453543[[#This Row],[Image Path]],Table1453543[[#This Row],[Order by Date]])</f>
        <v>20</v>
      </c>
      <c r="B43" s="8" t="s">
        <v>545</v>
      </c>
      <c r="C43" s="12">
        <f t="shared" si="0"/>
        <v>20</v>
      </c>
      <c r="D43" s="9" t="str">
        <f>CONCATENATE("TORS_Documents\",Table1453543[[#This Row],[Instrument No.
San Jacinto]],".pdf")</f>
        <v>TORS_Documents\20195281.pdf</v>
      </c>
      <c r="E43" s="13"/>
      <c r="F43" s="13"/>
      <c r="G43" s="8" t="s">
        <v>580</v>
      </c>
      <c r="H43" s="14">
        <v>43700</v>
      </c>
      <c r="I43" s="14">
        <v>42873</v>
      </c>
      <c r="J43" s="22" t="s">
        <v>574</v>
      </c>
      <c r="K43" s="7" t="s">
        <v>115</v>
      </c>
      <c r="L43" s="7" t="s">
        <v>397</v>
      </c>
      <c r="M43" s="7" t="s">
        <v>581</v>
      </c>
      <c r="N43" s="34"/>
    </row>
    <row r="44" spans="1:18" ht="28.5" x14ac:dyDescent="0.45">
      <c r="A44" s="5">
        <f>HYPERLINK(Table1453543[[#This Row],[Image Path]],Table1453543[[#This Row],[Order by Date]])</f>
        <v>21</v>
      </c>
      <c r="B44" s="7" t="s">
        <v>496</v>
      </c>
      <c r="C44" s="12">
        <f t="shared" si="0"/>
        <v>21</v>
      </c>
      <c r="D44" s="9" t="str">
        <f>CONCATENATE("TORS_Documents\",Table1453543[[#This Row],[Instrument No.
San Jacinto]],".pdf")</f>
        <v>TORS_Documents\2018-CPC-00366.pdf</v>
      </c>
      <c r="E44" s="13"/>
      <c r="F44" s="13"/>
      <c r="G44" s="8" t="s">
        <v>234</v>
      </c>
      <c r="H44" s="14">
        <v>43714</v>
      </c>
      <c r="I44" s="14">
        <v>43564</v>
      </c>
      <c r="J44" s="22" t="s">
        <v>498</v>
      </c>
      <c r="K44" s="7" t="s">
        <v>497</v>
      </c>
      <c r="L44" s="7"/>
      <c r="M44" s="7" t="s">
        <v>499</v>
      </c>
      <c r="N44" s="34"/>
    </row>
    <row r="45" spans="1:18" x14ac:dyDescent="0.45">
      <c r="A45" s="5">
        <f>HYPERLINK(Table1453543[[#This Row],[Image Path]],Table1453543[[#This Row],[Order by Date]])</f>
        <v>22</v>
      </c>
      <c r="B45" s="7" t="s">
        <v>582</v>
      </c>
      <c r="C45" s="12">
        <f t="shared" si="0"/>
        <v>22</v>
      </c>
      <c r="D45" s="9" t="str">
        <f>CONCATENATE("TORS_Documents\",Table1453543[[#This Row],[Instrument No.
San Jacinto]],".pdf")</f>
        <v>TORS_Documents\20202018.pdf</v>
      </c>
      <c r="E45" s="13"/>
      <c r="F45" s="13"/>
      <c r="G45" s="8">
        <v>20202018</v>
      </c>
      <c r="H45" s="14">
        <v>43927</v>
      </c>
      <c r="I45" s="14">
        <v>43927</v>
      </c>
      <c r="J45" s="22" t="s">
        <v>583</v>
      </c>
      <c r="K45" s="7" t="s">
        <v>115</v>
      </c>
      <c r="L45" s="7" t="s">
        <v>584</v>
      </c>
      <c r="M45" s="7" t="s">
        <v>585</v>
      </c>
      <c r="N45" s="34"/>
    </row>
    <row r="46" spans="1:18" ht="28.5" x14ac:dyDescent="0.45">
      <c r="A46" s="5">
        <f>HYPERLINK(Table1453543[[#This Row],[Image Path]],Table1453543[[#This Row],[Order by Date]])</f>
        <v>23</v>
      </c>
      <c r="B46" s="7" t="s">
        <v>670</v>
      </c>
      <c r="C46" s="12">
        <f t="shared" si="0"/>
        <v>23</v>
      </c>
      <c r="D46" s="9" t="str">
        <f>CONCATENATE("TORS_Documents\",Table1453543[[#This Row],[Instrument No.
San Jacinto]],".pdf")</f>
        <v>TORS_Documents\20202502.pdf</v>
      </c>
      <c r="E46" s="13"/>
      <c r="F46" s="13"/>
      <c r="G46" s="8" t="s">
        <v>586</v>
      </c>
      <c r="H46" s="14">
        <v>43957</v>
      </c>
      <c r="I46" s="14">
        <v>43958</v>
      </c>
      <c r="J46" s="22" t="s">
        <v>583</v>
      </c>
      <c r="K46" s="7" t="s">
        <v>115</v>
      </c>
      <c r="L46" s="7" t="s">
        <v>584</v>
      </c>
      <c r="M46" s="7" t="s">
        <v>587</v>
      </c>
      <c r="N46" s="34"/>
      <c r="R46" s="17" t="s">
        <v>440</v>
      </c>
    </row>
    <row r="47" spans="1:18" ht="28.5" x14ac:dyDescent="0.45">
      <c r="A47" s="5">
        <f>HYPERLINK(Table1453543[[#This Row],[Image Path]],Table1453543[[#This Row],[Order by Date]])</f>
        <v>24</v>
      </c>
      <c r="B47" s="7" t="s">
        <v>143</v>
      </c>
      <c r="C47" s="12">
        <f t="shared" si="0"/>
        <v>24</v>
      </c>
      <c r="D47" s="9" t="str">
        <f>CONCATENATE("TORS_Documents\",Table1453543[[#This Row],[Instrument No.
San Jacinto]],".pdf")</f>
        <v>TORS_Documents\20212816.pdf</v>
      </c>
      <c r="E47" s="13"/>
      <c r="F47" s="13"/>
      <c r="G47" s="8" t="s">
        <v>114</v>
      </c>
      <c r="H47" s="14">
        <v>44306</v>
      </c>
      <c r="I47" s="14">
        <v>44306</v>
      </c>
      <c r="J47" s="22" t="s">
        <v>115</v>
      </c>
      <c r="K47" s="7" t="s">
        <v>116</v>
      </c>
      <c r="L47" s="7" t="s">
        <v>502</v>
      </c>
      <c r="M47" s="7" t="s">
        <v>504</v>
      </c>
      <c r="N47" s="34"/>
    </row>
    <row r="48" spans="1:18" ht="57" x14ac:dyDescent="0.45">
      <c r="A48" s="5">
        <f>HYPERLINK(Table1453543[[#This Row],[Image Path]],Table1453543[[#This Row],[Order by Date]])</f>
        <v>25</v>
      </c>
      <c r="B48" s="7" t="s">
        <v>539</v>
      </c>
      <c r="C48" s="12">
        <f t="shared" si="0"/>
        <v>25</v>
      </c>
      <c r="D48" s="9" t="str">
        <f>CONCATENATE("TORS_Documents\",Table1453543[[#This Row],[Instrument No.
San Jacinto]],".pdf")</f>
        <v>TORS_Documents\20212817.pdf</v>
      </c>
      <c r="E48" s="13"/>
      <c r="F48" s="13"/>
      <c r="G48" s="8" t="s">
        <v>588</v>
      </c>
      <c r="H48" s="14">
        <v>44306</v>
      </c>
      <c r="I48" s="14">
        <v>44306</v>
      </c>
      <c r="J48" s="22" t="s">
        <v>116</v>
      </c>
      <c r="K48" s="7" t="s">
        <v>589</v>
      </c>
      <c r="L48" s="7" t="s">
        <v>590</v>
      </c>
      <c r="M48" s="7" t="s">
        <v>591</v>
      </c>
      <c r="N48" s="34"/>
    </row>
    <row r="49" spans="1:14" ht="28.5" x14ac:dyDescent="0.45">
      <c r="A49" s="5">
        <f>HYPERLINK(Table1453543[[#This Row],[Image Path]],Table1453543[[#This Row],[Order by Date]])</f>
        <v>26</v>
      </c>
      <c r="B49" s="7" t="s">
        <v>592</v>
      </c>
      <c r="C49" s="12">
        <f t="shared" si="0"/>
        <v>26</v>
      </c>
      <c r="D49" s="9" t="str">
        <f>CONCATENATE("TORS_Documents\",Table1453543[[#This Row],[Instrument No.
San Jacinto]],".pdf")</f>
        <v>TORS_Documents\20212918.pdf</v>
      </c>
      <c r="E49" s="13"/>
      <c r="F49" s="13"/>
      <c r="G49" s="8" t="s">
        <v>593</v>
      </c>
      <c r="H49" s="14">
        <v>44312</v>
      </c>
      <c r="I49" s="14">
        <v>44307</v>
      </c>
      <c r="J49" s="22" t="s">
        <v>594</v>
      </c>
      <c r="K49" s="7" t="s">
        <v>115</v>
      </c>
      <c r="L49" s="7" t="s">
        <v>590</v>
      </c>
      <c r="M49" s="7" t="s">
        <v>595</v>
      </c>
      <c r="N49" s="34"/>
    </row>
    <row r="50" spans="1:14" ht="28.5" x14ac:dyDescent="0.45">
      <c r="A50" s="5">
        <f>HYPERLINK(Table1453543[[#This Row],[Image Path]],Table1453543[[#This Row],[Order by Date]])</f>
        <v>27</v>
      </c>
      <c r="B50" s="7" t="s">
        <v>143</v>
      </c>
      <c r="C50" s="12">
        <f t="shared" si="0"/>
        <v>27</v>
      </c>
      <c r="D50" s="9" t="str">
        <f>CONCATENATE("TORS_Documents\",Table1453543[[#This Row],[Instrument No.
San Jacinto]],".pdf")</f>
        <v>TORS_Documents\20214839.pdf</v>
      </c>
      <c r="E50" s="13"/>
      <c r="F50" s="13"/>
      <c r="G50" s="8" t="s">
        <v>117</v>
      </c>
      <c r="H50" s="14">
        <v>44382</v>
      </c>
      <c r="I50" s="14">
        <v>44379</v>
      </c>
      <c r="J50" s="22" t="s">
        <v>115</v>
      </c>
      <c r="K50" s="7" t="s">
        <v>118</v>
      </c>
      <c r="L50" s="7" t="s">
        <v>503</v>
      </c>
      <c r="M50" s="7" t="s">
        <v>504</v>
      </c>
      <c r="N50" s="34"/>
    </row>
    <row r="51" spans="1:14" ht="28.5" x14ac:dyDescent="0.45">
      <c r="A51" s="5">
        <f>HYPERLINK(Table1453543[[#This Row],[Image Path]],Table1453543[[#This Row],[Order by Date]])</f>
        <v>28</v>
      </c>
      <c r="B51" s="7" t="s">
        <v>539</v>
      </c>
      <c r="C51" s="12">
        <f t="shared" si="0"/>
        <v>28</v>
      </c>
      <c r="D51" s="9" t="str">
        <f>CONCATENATE("TORS_Documents\",Table1453543[[#This Row],[Instrument No.
San Jacinto]],".pdf")</f>
        <v>TORS_Documents\20214840.pdf</v>
      </c>
      <c r="E51" s="13"/>
      <c r="F51" s="13"/>
      <c r="G51" s="8" t="s">
        <v>596</v>
      </c>
      <c r="H51" s="14">
        <v>44383</v>
      </c>
      <c r="I51" s="14">
        <v>44378</v>
      </c>
      <c r="J51" s="22" t="s">
        <v>597</v>
      </c>
      <c r="K51" s="7" t="s">
        <v>598</v>
      </c>
      <c r="L51" s="7" t="s">
        <v>599</v>
      </c>
      <c r="M51" s="7" t="s">
        <v>600</v>
      </c>
      <c r="N51" s="34"/>
    </row>
    <row r="52" spans="1:14" ht="28.5" x14ac:dyDescent="0.45">
      <c r="A52" s="5">
        <f>HYPERLINK(Table1453543[[#This Row],[Image Path]],Table1453543[[#This Row],[Order by Date]])</f>
        <v>29</v>
      </c>
      <c r="B52" s="7" t="s">
        <v>143</v>
      </c>
      <c r="C52" s="12">
        <f t="shared" si="0"/>
        <v>29</v>
      </c>
      <c r="D52" s="9" t="str">
        <f>CONCATENATE("TORS_Documents\",Table1453543[[#This Row],[Instrument No.
San Jacinto]],".pdf")</f>
        <v>TORS_Documents\20216239.pdf</v>
      </c>
      <c r="E52" s="13"/>
      <c r="F52" s="13"/>
      <c r="G52" s="8" t="s">
        <v>124</v>
      </c>
      <c r="H52" s="14">
        <v>44434</v>
      </c>
      <c r="I52" s="14">
        <v>44432</v>
      </c>
      <c r="J52" s="22" t="s">
        <v>116</v>
      </c>
      <c r="K52" s="7" t="s">
        <v>125</v>
      </c>
      <c r="L52" s="7" t="s">
        <v>505</v>
      </c>
      <c r="M52" s="7" t="s">
        <v>504</v>
      </c>
      <c r="N52" s="34"/>
    </row>
    <row r="53" spans="1:14" ht="28.5" x14ac:dyDescent="0.45">
      <c r="A53" s="5">
        <f>HYPERLINK(Table1453543[[#This Row],[Image Path]],Table1453543[[#This Row],[Order by Date]])</f>
        <v>30</v>
      </c>
      <c r="B53" s="7" t="s">
        <v>539</v>
      </c>
      <c r="C53" s="12">
        <f t="shared" si="0"/>
        <v>30</v>
      </c>
      <c r="D53" s="9" t="str">
        <f>CONCATENATE("TORS_Documents\",Table1453543[[#This Row],[Instrument No.
San Jacinto]],".pdf")</f>
        <v>TORS_Documents\20216241.pdf</v>
      </c>
      <c r="E53" s="13"/>
      <c r="F53" s="13"/>
      <c r="G53" s="8" t="s">
        <v>601</v>
      </c>
      <c r="H53" s="14">
        <v>44434</v>
      </c>
      <c r="I53" s="14">
        <v>44432</v>
      </c>
      <c r="J53" s="22" t="s">
        <v>125</v>
      </c>
      <c r="K53" s="7" t="s">
        <v>589</v>
      </c>
      <c r="L53" s="7" t="s">
        <v>602</v>
      </c>
      <c r="M53" s="7" t="s">
        <v>603</v>
      </c>
      <c r="N53" s="34"/>
    </row>
    <row r="54" spans="1:14" ht="28.5" x14ac:dyDescent="0.45">
      <c r="A54" s="5">
        <f>HYPERLINK(Table1453543[[#This Row],[Image Path]],Table1453543[[#This Row],[Order by Date]])</f>
        <v>31</v>
      </c>
      <c r="B54" s="7" t="s">
        <v>592</v>
      </c>
      <c r="C54" s="12">
        <f t="shared" si="0"/>
        <v>31</v>
      </c>
      <c r="D54" s="9" t="str">
        <f>CONCATENATE("TORS_Documents\",Table1453543[[#This Row],[Instrument No.
San Jacinto]],".pdf")</f>
        <v>TORS_Documents\20216238.pdf</v>
      </c>
      <c r="E54" s="13"/>
      <c r="F54" s="13"/>
      <c r="G54" s="8" t="s">
        <v>604</v>
      </c>
      <c r="H54" s="14">
        <v>44434</v>
      </c>
      <c r="I54" s="14">
        <v>44432</v>
      </c>
      <c r="J54" s="7" t="s">
        <v>589</v>
      </c>
      <c r="K54" s="7" t="s">
        <v>116</v>
      </c>
      <c r="L54" s="7" t="s">
        <v>602</v>
      </c>
      <c r="M54" s="7" t="s">
        <v>605</v>
      </c>
      <c r="N54" s="34"/>
    </row>
    <row r="55" spans="1:14" ht="28.5" x14ac:dyDescent="0.45">
      <c r="A55" s="5">
        <f>HYPERLINK(Table1453543[[#This Row],[Image Path]],Table1453543[[#This Row],[Order by Date]])</f>
        <v>32</v>
      </c>
      <c r="B55" s="7" t="s">
        <v>143</v>
      </c>
      <c r="C55" s="12">
        <f t="shared" si="0"/>
        <v>32</v>
      </c>
      <c r="D55" s="9" t="str">
        <f>CONCATENATE("TORS_Documents\",Table1453543[[#This Row],[Instrument No.
San Jacinto]],".pdf")</f>
        <v>TORS_Documents\20216715.pdf</v>
      </c>
      <c r="E55" s="13"/>
      <c r="F55" s="13"/>
      <c r="G55" s="8" t="s">
        <v>126</v>
      </c>
      <c r="H55" s="14">
        <v>44455</v>
      </c>
      <c r="I55" s="14">
        <v>44453</v>
      </c>
      <c r="J55" s="22" t="s">
        <v>116</v>
      </c>
      <c r="K55" s="7" t="s">
        <v>125</v>
      </c>
      <c r="L55" s="7" t="s">
        <v>519</v>
      </c>
      <c r="M55" s="7" t="s">
        <v>504</v>
      </c>
      <c r="N55" s="34"/>
    </row>
    <row r="56" spans="1:14" ht="28.5" x14ac:dyDescent="0.45">
      <c r="A56" s="5">
        <f>HYPERLINK(Table1453543[[#This Row],[Image Path]],Table1453543[[#This Row],[Order by Date]])</f>
        <v>33</v>
      </c>
      <c r="B56" s="7" t="s">
        <v>539</v>
      </c>
      <c r="C56" s="12">
        <f t="shared" si="0"/>
        <v>33</v>
      </c>
      <c r="D56" s="9" t="str">
        <f>CONCATENATE("TORS_Documents\",Table1453543[[#This Row],[Instrument No.
San Jacinto]],".pdf")</f>
        <v>TORS_Documents\20216717.pdf</v>
      </c>
      <c r="E56" s="13"/>
      <c r="F56" s="13"/>
      <c r="G56" s="8" t="s">
        <v>606</v>
      </c>
      <c r="H56" s="14">
        <v>44455</v>
      </c>
      <c r="I56" s="14">
        <v>44453</v>
      </c>
      <c r="J56" s="22" t="s">
        <v>125</v>
      </c>
      <c r="K56" s="7" t="s">
        <v>589</v>
      </c>
      <c r="L56" s="7" t="s">
        <v>602</v>
      </c>
      <c r="M56" s="7" t="s">
        <v>607</v>
      </c>
      <c r="N56" s="34"/>
    </row>
    <row r="57" spans="1:14" ht="28.5" x14ac:dyDescent="0.45">
      <c r="A57" s="5">
        <f>HYPERLINK(Table1453543[[#This Row],[Image Path]],Table1453543[[#This Row],[Order by Date]])</f>
        <v>34</v>
      </c>
      <c r="B57" s="7" t="s">
        <v>592</v>
      </c>
      <c r="C57" s="12">
        <f t="shared" ref="C57:C88" si="1">C56+1</f>
        <v>34</v>
      </c>
      <c r="D57" s="9" t="str">
        <f>CONCATENATE("TORS_Documents\",Table1453543[[#This Row],[Instrument No.
San Jacinto]],".pdf")</f>
        <v>TORS_Documents\20216762.pdf</v>
      </c>
      <c r="E57" s="13"/>
      <c r="F57" s="13"/>
      <c r="G57" s="8" t="s">
        <v>608</v>
      </c>
      <c r="H57" s="14">
        <v>44456</v>
      </c>
      <c r="I57" s="14">
        <v>44453</v>
      </c>
      <c r="J57" s="7" t="s">
        <v>589</v>
      </c>
      <c r="K57" s="7" t="s">
        <v>116</v>
      </c>
      <c r="L57" s="7" t="s">
        <v>602</v>
      </c>
      <c r="M57" s="7" t="s">
        <v>605</v>
      </c>
      <c r="N57" s="34"/>
    </row>
    <row r="58" spans="1:14" ht="28.5" x14ac:dyDescent="0.45">
      <c r="A58" s="5">
        <f>HYPERLINK(Table1453543[[#This Row],[Image Path]],Table1453543[[#This Row],[Order by Date]])</f>
        <v>35</v>
      </c>
      <c r="B58" s="7" t="s">
        <v>609</v>
      </c>
      <c r="C58" s="12">
        <f t="shared" si="1"/>
        <v>35</v>
      </c>
      <c r="D58" s="9" t="str">
        <f>CONCATENATE("TORS_Documents\",Table1453543[[#This Row],[Instrument No.
San Jacinto]],".pdf")</f>
        <v>TORS_Documents\20216955.pdf</v>
      </c>
      <c r="E58" s="13"/>
      <c r="F58" s="13"/>
      <c r="G58" s="8" t="s">
        <v>610</v>
      </c>
      <c r="H58" s="14">
        <v>44463</v>
      </c>
      <c r="I58" s="14">
        <v>44448</v>
      </c>
      <c r="J58" s="22" t="s">
        <v>597</v>
      </c>
      <c r="K58" s="7" t="s">
        <v>598</v>
      </c>
      <c r="L58" s="7" t="s">
        <v>599</v>
      </c>
      <c r="M58" s="7" t="s">
        <v>611</v>
      </c>
      <c r="N58" s="34"/>
    </row>
    <row r="59" spans="1:14" ht="28.5" x14ac:dyDescent="0.45">
      <c r="A59" s="5">
        <f>HYPERLINK(Table1453543[[#This Row],[Image Path]],Table1453543[[#This Row],[Order by Date]])</f>
        <v>36</v>
      </c>
      <c r="B59" s="7" t="s">
        <v>545</v>
      </c>
      <c r="C59" s="12">
        <f t="shared" si="1"/>
        <v>36</v>
      </c>
      <c r="D59" s="9" t="str">
        <f>CONCATENATE("TORS_Documents\",Table1453543[[#This Row],[Instrument No.
San Jacinto]],".pdf")</f>
        <v>TORS_Documents\20217983.pdf</v>
      </c>
      <c r="E59" s="13"/>
      <c r="F59" s="13"/>
      <c r="G59" s="8" t="s">
        <v>612</v>
      </c>
      <c r="H59" s="14">
        <v>44503</v>
      </c>
      <c r="I59" s="14">
        <v>44497</v>
      </c>
      <c r="J59" s="22" t="s">
        <v>589</v>
      </c>
      <c r="K59" s="7" t="s">
        <v>116</v>
      </c>
      <c r="L59" s="7" t="s">
        <v>613</v>
      </c>
      <c r="M59" s="7" t="s">
        <v>605</v>
      </c>
      <c r="N59" s="34"/>
    </row>
    <row r="60" spans="1:14" ht="28.5" x14ac:dyDescent="0.45">
      <c r="A60" s="5">
        <f>HYPERLINK(Table1453543[[#This Row],[Image Path]],Table1453543[[#This Row],[Order by Date]])</f>
        <v>37</v>
      </c>
      <c r="B60" s="7" t="s">
        <v>145</v>
      </c>
      <c r="C60" s="12">
        <f t="shared" si="1"/>
        <v>37</v>
      </c>
      <c r="D60" s="9" t="str">
        <f>CONCATENATE("TORS_Documents\",Table1453543[[#This Row],[Instrument No.
San Jacinto]],".pdf")</f>
        <v>TORS_Documents\20219038.pdf</v>
      </c>
      <c r="E60" s="13"/>
      <c r="F60" s="13"/>
      <c r="G60" s="8" t="s">
        <v>127</v>
      </c>
      <c r="H60" s="14">
        <v>44545</v>
      </c>
      <c r="I60" s="14">
        <v>44545</v>
      </c>
      <c r="J60" s="22" t="s">
        <v>116</v>
      </c>
      <c r="K60" s="7" t="s">
        <v>125</v>
      </c>
      <c r="L60" s="7" t="s">
        <v>520</v>
      </c>
      <c r="M60" s="7" t="s">
        <v>521</v>
      </c>
      <c r="N60" s="34"/>
    </row>
    <row r="61" spans="1:14" ht="28.5" x14ac:dyDescent="0.45">
      <c r="A61" s="5">
        <f>HYPERLINK(Table1453543[[#This Row],[Image Path]],Table1453543[[#This Row],[Order by Date]])</f>
        <v>38</v>
      </c>
      <c r="B61" s="7" t="s">
        <v>539</v>
      </c>
      <c r="C61" s="12">
        <f t="shared" si="1"/>
        <v>38</v>
      </c>
      <c r="D61" s="9" t="str">
        <f>CONCATENATE("TORS_Documents\",Table1453543[[#This Row],[Instrument No.
San Jacinto]],".pdf")</f>
        <v>TORS_Documents\20219040.pdf</v>
      </c>
      <c r="E61" s="13"/>
      <c r="F61" s="13"/>
      <c r="G61" s="8" t="s">
        <v>614</v>
      </c>
      <c r="H61" s="14">
        <v>44545</v>
      </c>
      <c r="I61" s="14">
        <v>44545</v>
      </c>
      <c r="J61" s="22" t="s">
        <v>125</v>
      </c>
      <c r="K61" s="7" t="s">
        <v>589</v>
      </c>
      <c r="L61" s="7" t="s">
        <v>615</v>
      </c>
      <c r="M61" s="7" t="s">
        <v>616</v>
      </c>
      <c r="N61" s="34"/>
    </row>
    <row r="62" spans="1:14" ht="28.5" x14ac:dyDescent="0.45">
      <c r="A62" s="5">
        <f>HYPERLINK(Table1453543[[#This Row],[Image Path]],Table1453543[[#This Row],[Order by Date]])</f>
        <v>39</v>
      </c>
      <c r="B62" s="7" t="s">
        <v>539</v>
      </c>
      <c r="C62" s="12">
        <f t="shared" si="1"/>
        <v>39</v>
      </c>
      <c r="D62" s="9" t="str">
        <f>CONCATENATE("TORS_Documents\",Table1453543[[#This Row],[Instrument No.
San Jacinto]],".pdf")</f>
        <v>TORS_Documents\20222294.pdf</v>
      </c>
      <c r="E62" s="13"/>
      <c r="F62" s="13"/>
      <c r="G62" s="8" t="s">
        <v>617</v>
      </c>
      <c r="H62" s="14">
        <v>44655</v>
      </c>
      <c r="I62" s="14">
        <v>44650</v>
      </c>
      <c r="J62" s="22" t="s">
        <v>597</v>
      </c>
      <c r="K62" s="7" t="s">
        <v>618</v>
      </c>
      <c r="L62" s="7" t="s">
        <v>599</v>
      </c>
      <c r="M62" s="7" t="s">
        <v>619</v>
      </c>
      <c r="N62" s="34"/>
    </row>
    <row r="63" spans="1:14" ht="28.5" x14ac:dyDescent="0.45">
      <c r="A63" s="5">
        <f>HYPERLINK(Table1453543[[#This Row],[Image Path]],Table1453543[[#This Row],[Order by Date]])</f>
        <v>40</v>
      </c>
      <c r="B63" s="7" t="s">
        <v>559</v>
      </c>
      <c r="C63" s="12">
        <f t="shared" si="1"/>
        <v>40</v>
      </c>
      <c r="D63" s="9" t="str">
        <f>CONCATENATE("TORS_Documents\",Table1453543[[#This Row],[Instrument No.
San Jacinto]],".pdf")</f>
        <v>TORS_Documents\20222293.pdf</v>
      </c>
      <c r="E63" s="13"/>
      <c r="F63" s="13"/>
      <c r="G63" s="8" t="s">
        <v>620</v>
      </c>
      <c r="H63" s="14">
        <v>44655</v>
      </c>
      <c r="I63" s="14">
        <v>44650</v>
      </c>
      <c r="J63" s="22" t="s">
        <v>597</v>
      </c>
      <c r="K63" s="7" t="s">
        <v>621</v>
      </c>
      <c r="L63" s="7" t="s">
        <v>599</v>
      </c>
      <c r="M63" s="7" t="s">
        <v>568</v>
      </c>
      <c r="N63" s="34"/>
    </row>
    <row r="64" spans="1:14" ht="28.5" x14ac:dyDescent="0.45">
      <c r="A64" s="5">
        <f>HYPERLINK(Table1453543[[#This Row],[Image Path]],Table1453543[[#This Row],[Order by Date]])</f>
        <v>41</v>
      </c>
      <c r="B64" s="7" t="s">
        <v>592</v>
      </c>
      <c r="C64" s="12">
        <f t="shared" si="1"/>
        <v>41</v>
      </c>
      <c r="D64" s="9" t="str">
        <f>CONCATENATE("TORS_Documents\",Table1453543[[#This Row],[Instrument No.
San Jacinto]],".pdf")</f>
        <v>TORS_Documents\20222292.pdf</v>
      </c>
      <c r="E64" s="13"/>
      <c r="F64" s="13"/>
      <c r="G64" s="8" t="s">
        <v>622</v>
      </c>
      <c r="H64" s="14">
        <v>44655</v>
      </c>
      <c r="I64" s="14">
        <v>44651</v>
      </c>
      <c r="J64" s="22" t="s">
        <v>594</v>
      </c>
      <c r="K64" s="7" t="s">
        <v>115</v>
      </c>
      <c r="L64" s="7" t="s">
        <v>599</v>
      </c>
      <c r="M64" s="7" t="s">
        <v>595</v>
      </c>
      <c r="N64" s="34"/>
    </row>
    <row r="65" spans="1:14" ht="28.5" x14ac:dyDescent="0.45">
      <c r="A65" s="5">
        <f>HYPERLINK(Table1453543[[#This Row],[Image Path]],Table1453543[[#This Row],[Order by Date]])</f>
        <v>42</v>
      </c>
      <c r="B65" s="27" t="s">
        <v>545</v>
      </c>
      <c r="C65" s="12">
        <f t="shared" si="1"/>
        <v>42</v>
      </c>
      <c r="D65" s="9" t="str">
        <f>CONCATENATE("TORS_Documents\",Table1453543[[#This Row],[Instrument No.
San Jacinto]],".pdf")</f>
        <v>TORS_Documents\20222552.pdf</v>
      </c>
      <c r="E65" s="28"/>
      <c r="F65" s="28"/>
      <c r="G65" s="180" t="s">
        <v>623</v>
      </c>
      <c r="H65" s="177">
        <v>44663</v>
      </c>
      <c r="I65" s="177">
        <v>44652</v>
      </c>
      <c r="J65" s="47" t="s">
        <v>624</v>
      </c>
      <c r="K65" s="27" t="s">
        <v>118</v>
      </c>
      <c r="L65" s="27" t="s">
        <v>599</v>
      </c>
      <c r="M65" s="27" t="s">
        <v>625</v>
      </c>
      <c r="N65" s="34"/>
    </row>
    <row r="66" spans="1:14" ht="28.5" x14ac:dyDescent="0.45">
      <c r="A66" s="5">
        <f>HYPERLINK(Table1453543[[#This Row],[Image Path]],Table1453543[[#This Row],[Order by Date]])</f>
        <v>43</v>
      </c>
      <c r="B66" s="27" t="s">
        <v>144</v>
      </c>
      <c r="C66" s="12">
        <f t="shared" si="1"/>
        <v>43</v>
      </c>
      <c r="D66" s="9" t="str">
        <f>CONCATENATE("TORS_Documents\",Table1453543[[#This Row],[Instrument No.
San Jacinto]],".pdf")</f>
        <v>TORS_Documents\20222653.pdf</v>
      </c>
      <c r="E66" s="28"/>
      <c r="F66" s="28"/>
      <c r="G66" s="180" t="s">
        <v>129</v>
      </c>
      <c r="H66" s="177">
        <v>44665</v>
      </c>
      <c r="I66" s="177">
        <v>44665</v>
      </c>
      <c r="J66" s="47" t="s">
        <v>125</v>
      </c>
      <c r="K66" s="27" t="s">
        <v>130</v>
      </c>
      <c r="L66" s="27" t="s">
        <v>522</v>
      </c>
      <c r="M66" s="27" t="s">
        <v>504</v>
      </c>
      <c r="N66" s="34"/>
    </row>
    <row r="67" spans="1:14" ht="28.5" x14ac:dyDescent="0.45">
      <c r="A67" s="5">
        <f>HYPERLINK(Table1453543[[#This Row],[Image Path]],Table1453543[[#This Row],[Order by Date]])</f>
        <v>44</v>
      </c>
      <c r="B67" s="27" t="s">
        <v>539</v>
      </c>
      <c r="C67" s="12">
        <f t="shared" si="1"/>
        <v>44</v>
      </c>
      <c r="D67" s="9" t="str">
        <f>CONCATENATE("TORS_Documents\",Table1453543[[#This Row],[Instrument No.
San Jacinto]],".pdf")</f>
        <v>TORS_Documents\20222654.pdf</v>
      </c>
      <c r="E67" s="28"/>
      <c r="F67" s="28"/>
      <c r="G67" s="180" t="s">
        <v>626</v>
      </c>
      <c r="H67" s="14">
        <v>44665</v>
      </c>
      <c r="I67" s="177">
        <v>44665</v>
      </c>
      <c r="J67" s="47" t="s">
        <v>130</v>
      </c>
      <c r="K67" s="27" t="s">
        <v>627</v>
      </c>
      <c r="L67" s="27" t="s">
        <v>602</v>
      </c>
      <c r="M67" s="27" t="s">
        <v>568</v>
      </c>
      <c r="N67" s="34"/>
    </row>
    <row r="68" spans="1:14" ht="28.5" x14ac:dyDescent="0.45">
      <c r="A68" s="5">
        <f>HYPERLINK(Table1453543[[#This Row],[Image Path]],Table1453543[[#This Row],[Order by Date]])</f>
        <v>45</v>
      </c>
      <c r="B68" s="27" t="s">
        <v>144</v>
      </c>
      <c r="C68" s="12">
        <f t="shared" si="1"/>
        <v>45</v>
      </c>
      <c r="D68" s="9" t="str">
        <f>CONCATENATE("TORS_Documents\",Table1453543[[#This Row],[Instrument No.
San Jacinto]],".pdf")</f>
        <v>TORS_Documents\20222685.pdf</v>
      </c>
      <c r="E68" s="28"/>
      <c r="F68" s="28"/>
      <c r="G68" s="180" t="s">
        <v>131</v>
      </c>
      <c r="H68" s="177">
        <v>44669</v>
      </c>
      <c r="I68" s="177">
        <v>44665</v>
      </c>
      <c r="J68" s="47" t="s">
        <v>125</v>
      </c>
      <c r="K68" s="27" t="s">
        <v>132</v>
      </c>
      <c r="L68" s="27" t="s">
        <v>523</v>
      </c>
      <c r="M68" s="27" t="s">
        <v>504</v>
      </c>
      <c r="N68" s="34"/>
    </row>
    <row r="69" spans="1:14" ht="28.5" x14ac:dyDescent="0.45">
      <c r="A69" s="5">
        <f>HYPERLINK(Table1453543[[#This Row],[Image Path]],Table1453543[[#This Row],[Order by Date]])</f>
        <v>46</v>
      </c>
      <c r="B69" s="27" t="s">
        <v>539</v>
      </c>
      <c r="C69" s="12">
        <f t="shared" si="1"/>
        <v>46</v>
      </c>
      <c r="D69" s="9" t="str">
        <f>CONCATENATE("TORS_Documents\",Table1453543[[#This Row],[Instrument No.
San Jacinto]],".pdf")</f>
        <v>TORS_Documents\20222686.pdf</v>
      </c>
      <c r="E69" s="28"/>
      <c r="F69" s="28"/>
      <c r="G69" s="180" t="s">
        <v>628</v>
      </c>
      <c r="H69" s="177">
        <v>44669</v>
      </c>
      <c r="I69" s="177">
        <v>44665</v>
      </c>
      <c r="J69" s="27" t="s">
        <v>132</v>
      </c>
      <c r="K69" s="27" t="s">
        <v>629</v>
      </c>
      <c r="L69" s="7" t="s">
        <v>602</v>
      </c>
      <c r="M69" s="27" t="s">
        <v>568</v>
      </c>
      <c r="N69" s="34"/>
    </row>
    <row r="70" spans="1:14" ht="28.5" x14ac:dyDescent="0.45">
      <c r="A70" s="5">
        <f>HYPERLINK(Table1453543[[#This Row],[Image Path]],Table1453543[[#This Row],[Order by Date]])</f>
        <v>47</v>
      </c>
      <c r="B70" s="27" t="s">
        <v>545</v>
      </c>
      <c r="C70" s="12">
        <f t="shared" si="1"/>
        <v>47</v>
      </c>
      <c r="D70" s="9" t="str">
        <f>CONCATENATE("TORS_Documents\",Table1453543[[#This Row],[Instrument No.
San Jacinto]],".pdf")</f>
        <v>TORS_Documents\20222782.pdf</v>
      </c>
      <c r="E70" s="28"/>
      <c r="F70" s="28"/>
      <c r="G70" s="180" t="s">
        <v>630</v>
      </c>
      <c r="H70" s="177">
        <v>44670</v>
      </c>
      <c r="I70" s="177">
        <v>44669</v>
      </c>
      <c r="J70" s="47" t="s">
        <v>631</v>
      </c>
      <c r="K70" s="27" t="s">
        <v>125</v>
      </c>
      <c r="L70" s="27" t="s">
        <v>602</v>
      </c>
      <c r="M70" s="27" t="s">
        <v>632</v>
      </c>
      <c r="N70" s="34"/>
    </row>
    <row r="71" spans="1:14" ht="28.5" x14ac:dyDescent="0.45">
      <c r="A71" s="5">
        <f>HYPERLINK(Table1453543[[#This Row],[Image Path]],Table1453543[[#This Row],[Order by Date]])</f>
        <v>48</v>
      </c>
      <c r="B71" s="27" t="s">
        <v>545</v>
      </c>
      <c r="C71" s="12">
        <f t="shared" si="1"/>
        <v>48</v>
      </c>
      <c r="D71" s="9" t="str">
        <f>CONCATENATE("TORS_Documents\",Table1453543[[#This Row],[Instrument No.
San Jacinto]],".pdf")</f>
        <v>TORS_Documents\20222781.pdf</v>
      </c>
      <c r="E71" s="28"/>
      <c r="F71" s="28"/>
      <c r="G71" s="180" t="s">
        <v>633</v>
      </c>
      <c r="H71" s="177">
        <v>44670</v>
      </c>
      <c r="I71" s="177">
        <v>44669</v>
      </c>
      <c r="J71" s="47" t="s">
        <v>631</v>
      </c>
      <c r="K71" s="27" t="s">
        <v>125</v>
      </c>
      <c r="L71" s="27" t="s">
        <v>602</v>
      </c>
      <c r="M71" s="27" t="s">
        <v>634</v>
      </c>
      <c r="N71" s="34"/>
    </row>
    <row r="72" spans="1:14" ht="28.5" x14ac:dyDescent="0.45">
      <c r="A72" s="5">
        <f>HYPERLINK(Table1453543[[#This Row],[Image Path]],Table1453543[[#This Row],[Order by Date]])</f>
        <v>49</v>
      </c>
      <c r="B72" s="27" t="s">
        <v>144</v>
      </c>
      <c r="C72" s="12">
        <f t="shared" si="1"/>
        <v>49</v>
      </c>
      <c r="D72" s="9" t="str">
        <f>CONCATENATE("TORS_Documents\",Table1453543[[#This Row],[Instrument No.
San Jacinto]],".pdf")</f>
        <v>TORS_Documents\20223159.pdf</v>
      </c>
      <c r="E72" s="28"/>
      <c r="F72" s="28"/>
      <c r="G72" s="180" t="s">
        <v>119</v>
      </c>
      <c r="H72" s="177">
        <v>44685</v>
      </c>
      <c r="I72" s="14">
        <v>44685</v>
      </c>
      <c r="J72" s="47" t="s">
        <v>115</v>
      </c>
      <c r="K72" s="27" t="s">
        <v>120</v>
      </c>
      <c r="L72" s="27" t="s">
        <v>530</v>
      </c>
      <c r="M72" s="27" t="s">
        <v>504</v>
      </c>
      <c r="N72" s="34"/>
    </row>
    <row r="73" spans="1:14" ht="28.5" x14ac:dyDescent="0.45">
      <c r="A73" s="5">
        <f>HYPERLINK(Table1453543[[#This Row],[Image Path]],Table1453543[[#This Row],[Order by Date]])</f>
        <v>50</v>
      </c>
      <c r="B73" s="7" t="s">
        <v>539</v>
      </c>
      <c r="C73" s="12">
        <f t="shared" si="1"/>
        <v>50</v>
      </c>
      <c r="D73" s="9" t="str">
        <f>CONCATENATE("TORS_Documents\",Table1453543[[#This Row],[Instrument No.
San Jacinto]],".pdf")</f>
        <v>TORS_Documents\20223160.pdf</v>
      </c>
      <c r="E73" s="13"/>
      <c r="F73" s="13"/>
      <c r="G73" s="8" t="s">
        <v>635</v>
      </c>
      <c r="H73" s="14">
        <v>44685</v>
      </c>
      <c r="I73" s="14">
        <v>44685</v>
      </c>
      <c r="J73" s="47" t="s">
        <v>120</v>
      </c>
      <c r="K73" s="27" t="s">
        <v>636</v>
      </c>
      <c r="L73" s="7" t="s">
        <v>637</v>
      </c>
      <c r="M73" s="7" t="s">
        <v>638</v>
      </c>
      <c r="N73" s="34"/>
    </row>
    <row r="74" spans="1:14" ht="28.5" x14ac:dyDescent="0.45">
      <c r="A74" s="5">
        <f>HYPERLINK(Table1453543[[#This Row],[Image Path]],Table1453543[[#This Row],[Order by Date]])</f>
        <v>51</v>
      </c>
      <c r="B74" s="27" t="s">
        <v>592</v>
      </c>
      <c r="C74" s="12">
        <f t="shared" si="1"/>
        <v>51</v>
      </c>
      <c r="D74" s="9" t="str">
        <f>CONCATENATE("TORS_Documents\",Table1453543[[#This Row],[Instrument No.
San Jacinto]],".pdf")</f>
        <v>TORS_Documents\20223281.pdf</v>
      </c>
      <c r="E74" s="28"/>
      <c r="F74" s="28"/>
      <c r="G74" s="180" t="s">
        <v>639</v>
      </c>
      <c r="H74" s="177">
        <v>44691</v>
      </c>
      <c r="I74" s="177">
        <v>44687</v>
      </c>
      <c r="J74" s="47" t="s">
        <v>594</v>
      </c>
      <c r="K74" s="27" t="s">
        <v>115</v>
      </c>
      <c r="L74" s="27" t="s">
        <v>637</v>
      </c>
      <c r="M74" s="27" t="s">
        <v>595</v>
      </c>
      <c r="N74" s="34"/>
    </row>
    <row r="75" spans="1:14" ht="28.5" x14ac:dyDescent="0.45">
      <c r="A75" s="5">
        <f>HYPERLINK(Table1453543[[#This Row],[Image Path]],Table1453543[[#This Row],[Order by Date]])</f>
        <v>52</v>
      </c>
      <c r="B75" s="27" t="s">
        <v>143</v>
      </c>
      <c r="C75" s="12">
        <f t="shared" si="1"/>
        <v>52</v>
      </c>
      <c r="D75" s="9" t="str">
        <f>CONCATENATE("TORS_Documents\",Table1453543[[#This Row],[Instrument No.
San Jacinto]],".pdf")</f>
        <v>TORS_Documents\20226398.pdf</v>
      </c>
      <c r="E75" s="28"/>
      <c r="F75" s="28"/>
      <c r="G75" s="180" t="s">
        <v>133</v>
      </c>
      <c r="H75" s="177">
        <v>44819</v>
      </c>
      <c r="I75" s="177">
        <v>44819</v>
      </c>
      <c r="J75" s="47" t="s">
        <v>125</v>
      </c>
      <c r="K75" s="27" t="s">
        <v>134</v>
      </c>
      <c r="L75" s="27" t="s">
        <v>524</v>
      </c>
      <c r="M75" s="27" t="s">
        <v>504</v>
      </c>
      <c r="N75" s="34"/>
    </row>
    <row r="76" spans="1:14" ht="28.5" x14ac:dyDescent="0.45">
      <c r="A76" s="5">
        <f>HYPERLINK(Table1453543[[#This Row],[Image Path]],Table1453543[[#This Row],[Order by Date]])</f>
        <v>53</v>
      </c>
      <c r="B76" s="27" t="s">
        <v>539</v>
      </c>
      <c r="C76" s="12">
        <f t="shared" si="1"/>
        <v>53</v>
      </c>
      <c r="D76" s="9" t="str">
        <f>CONCATENATE("TORS_Documents\",Table1453543[[#This Row],[Instrument No.
San Jacinto]],".pdf")</f>
        <v>TORS_Documents\20226400.pdf</v>
      </c>
      <c r="E76" s="28"/>
      <c r="F76" s="28"/>
      <c r="G76" s="180" t="s">
        <v>640</v>
      </c>
      <c r="H76" s="177">
        <v>44819</v>
      </c>
      <c r="I76" s="177">
        <v>44819</v>
      </c>
      <c r="J76" s="27" t="s">
        <v>134</v>
      </c>
      <c r="K76" s="27" t="s">
        <v>641</v>
      </c>
      <c r="L76" s="27" t="s">
        <v>615</v>
      </c>
      <c r="M76" s="27" t="s">
        <v>568</v>
      </c>
      <c r="N76" s="34"/>
    </row>
    <row r="77" spans="1:14" ht="28.5" x14ac:dyDescent="0.45">
      <c r="A77" s="5">
        <f>HYPERLINK(Table1453543[[#This Row],[Image Path]],Table1453543[[#This Row],[Order by Date]])</f>
        <v>54</v>
      </c>
      <c r="B77" s="27" t="s">
        <v>559</v>
      </c>
      <c r="C77" s="12">
        <f t="shared" si="1"/>
        <v>54</v>
      </c>
      <c r="D77" s="9" t="str">
        <f>CONCATENATE("TORS_Documents\",Table1453543[[#This Row],[Instrument No.
San Jacinto]],".pdf")</f>
        <v>TORS_Documents\20226399.pdf</v>
      </c>
      <c r="E77" s="28"/>
      <c r="F77" s="28"/>
      <c r="G77" s="180" t="s">
        <v>642</v>
      </c>
      <c r="H77" s="177">
        <v>44819</v>
      </c>
      <c r="I77" s="177">
        <v>44819</v>
      </c>
      <c r="J77" s="27" t="s">
        <v>134</v>
      </c>
      <c r="K77" s="27" t="s">
        <v>643</v>
      </c>
      <c r="L77" s="27" t="s">
        <v>615</v>
      </c>
      <c r="M77" s="27" t="s">
        <v>568</v>
      </c>
      <c r="N77" s="34"/>
    </row>
    <row r="78" spans="1:14" ht="28.5" x14ac:dyDescent="0.45">
      <c r="A78" s="5">
        <f>HYPERLINK(Table1453543[[#This Row],[Image Path]],Table1453543[[#This Row],[Order by Date]])</f>
        <v>55</v>
      </c>
      <c r="B78" s="27" t="s">
        <v>545</v>
      </c>
      <c r="C78" s="12">
        <f t="shared" si="1"/>
        <v>55</v>
      </c>
      <c r="D78" s="9" t="str">
        <f>CONCATENATE("TORS_Documents\",Table1453543[[#This Row],[Instrument No.
San Jacinto]],".pdf")</f>
        <v>TORS_Documents\20226422.pdf</v>
      </c>
      <c r="E78" s="28"/>
      <c r="F78" s="28"/>
      <c r="G78" s="180" t="s">
        <v>644</v>
      </c>
      <c r="H78" s="177">
        <v>44820</v>
      </c>
      <c r="I78" s="177">
        <v>44819</v>
      </c>
      <c r="J78" s="47" t="s">
        <v>631</v>
      </c>
      <c r="K78" s="27" t="s">
        <v>125</v>
      </c>
      <c r="L78" s="27" t="s">
        <v>615</v>
      </c>
      <c r="M78" s="27" t="s">
        <v>645</v>
      </c>
      <c r="N78" s="34"/>
    </row>
    <row r="79" spans="1:14" ht="28.5" x14ac:dyDescent="0.45">
      <c r="A79" s="5">
        <f>HYPERLINK(Table1453543[[#This Row],[Image Path]],Table1453543[[#This Row],[Order by Date]])</f>
        <v>56</v>
      </c>
      <c r="B79" s="27" t="s">
        <v>145</v>
      </c>
      <c r="C79" s="12">
        <f t="shared" si="1"/>
        <v>56</v>
      </c>
      <c r="D79" s="9" t="str">
        <f>CONCATENATE("TORS_Documents\",Table1453543[[#This Row],[Instrument No.
San Jacinto]],".pdf")</f>
        <v>TORS_Documents\20226530.pdf</v>
      </c>
      <c r="E79" s="28"/>
      <c r="F79" s="28"/>
      <c r="G79" s="180" t="s">
        <v>135</v>
      </c>
      <c r="H79" s="177">
        <v>44824</v>
      </c>
      <c r="I79" s="177">
        <v>44823</v>
      </c>
      <c r="J79" s="47" t="s">
        <v>125</v>
      </c>
      <c r="K79" s="27" t="s">
        <v>136</v>
      </c>
      <c r="L79" s="27" t="s">
        <v>525</v>
      </c>
      <c r="M79" s="27" t="s">
        <v>521</v>
      </c>
      <c r="N79" s="34"/>
    </row>
    <row r="80" spans="1:14" ht="42.75" x14ac:dyDescent="0.45">
      <c r="A80" s="5">
        <f>HYPERLINK(Table1453543[[#This Row],[Image Path]],Table1453543[[#This Row],[Order by Date]])</f>
        <v>57</v>
      </c>
      <c r="B80" s="7" t="s">
        <v>144</v>
      </c>
      <c r="C80" s="12">
        <f t="shared" si="1"/>
        <v>57</v>
      </c>
      <c r="D80" s="9" t="str">
        <f>CONCATENATE("TORS_Documents\",Table1453543[[#This Row],[Instrument No.
San Jacinto]],".pdf")</f>
        <v>TORS_Documents\20230583.pdf</v>
      </c>
      <c r="E80" s="13"/>
      <c r="F80" s="13"/>
      <c r="G80" s="8" t="s">
        <v>121</v>
      </c>
      <c r="H80" s="14">
        <v>44956</v>
      </c>
      <c r="I80" s="177">
        <v>44953</v>
      </c>
      <c r="J80" s="47" t="s">
        <v>115</v>
      </c>
      <c r="K80" s="27" t="s">
        <v>122</v>
      </c>
      <c r="L80" s="27" t="s">
        <v>526</v>
      </c>
      <c r="M80" s="27" t="s">
        <v>527</v>
      </c>
      <c r="N80" s="34"/>
    </row>
    <row r="81" spans="1:14" ht="28.5" x14ac:dyDescent="0.45">
      <c r="A81" s="5">
        <f>HYPERLINK(Table1453543[[#This Row],[Image Path]],Table1453543[[#This Row],[Order by Date]])</f>
        <v>58</v>
      </c>
      <c r="B81" s="27" t="s">
        <v>539</v>
      </c>
      <c r="C81" s="12">
        <f t="shared" si="1"/>
        <v>58</v>
      </c>
      <c r="D81" s="9" t="str">
        <f>CONCATENATE("TORS_Documents\",Table1453543[[#This Row],[Instrument No.
San Jacinto]],".pdf")</f>
        <v>TORS_Documents\20230584.pdf</v>
      </c>
      <c r="E81" s="28"/>
      <c r="F81" s="28"/>
      <c r="G81" s="180" t="s">
        <v>646</v>
      </c>
      <c r="H81" s="177">
        <v>44956</v>
      </c>
      <c r="I81" s="177">
        <v>44953</v>
      </c>
      <c r="J81" s="27" t="s">
        <v>122</v>
      </c>
      <c r="K81" s="27" t="s">
        <v>636</v>
      </c>
      <c r="L81" s="27" t="s">
        <v>647</v>
      </c>
      <c r="M81" s="27" t="s">
        <v>648</v>
      </c>
      <c r="N81" s="34"/>
    </row>
    <row r="82" spans="1:14" ht="28.5" x14ac:dyDescent="0.45">
      <c r="A82" s="5">
        <f>HYPERLINK(Table1453543[[#This Row],[Image Path]],Table1453543[[#This Row],[Order by Date]])</f>
        <v>59</v>
      </c>
      <c r="B82" s="27" t="s">
        <v>545</v>
      </c>
      <c r="C82" s="12">
        <f t="shared" si="1"/>
        <v>59</v>
      </c>
      <c r="D82" s="9" t="str">
        <f>CONCATENATE("TORS_Documents\",Table1453543[[#This Row],[Instrument No.
San Jacinto]],".pdf")</f>
        <v>TORS_Documents\20230767.pdf</v>
      </c>
      <c r="E82" s="28"/>
      <c r="F82" s="28"/>
      <c r="G82" s="180" t="s">
        <v>649</v>
      </c>
      <c r="H82" s="177">
        <v>44964</v>
      </c>
      <c r="I82" s="177">
        <v>44932</v>
      </c>
      <c r="J82" s="47" t="s">
        <v>594</v>
      </c>
      <c r="K82" s="27" t="s">
        <v>115</v>
      </c>
      <c r="L82" s="27" t="s">
        <v>647</v>
      </c>
      <c r="M82" s="27" t="s">
        <v>595</v>
      </c>
      <c r="N82" s="34"/>
    </row>
    <row r="83" spans="1:14" ht="42.75" x14ac:dyDescent="0.45">
      <c r="A83" s="5">
        <f>HYPERLINK(Table1453543[[#This Row],[Image Path]],Table1453543[[#This Row],[Order by Date]])</f>
        <v>60</v>
      </c>
      <c r="B83" s="27" t="s">
        <v>277</v>
      </c>
      <c r="C83" s="12">
        <f t="shared" si="1"/>
        <v>60</v>
      </c>
      <c r="D83" s="9" t="str">
        <f>CONCATENATE("TORS_Documents\",Table1453543[[#This Row],[Instrument No.
San Jacinto]],".pdf")</f>
        <v>TORS_Documents\20236699.pdf</v>
      </c>
      <c r="E83" s="13"/>
      <c r="F83" s="13"/>
      <c r="G83" s="8" t="s">
        <v>232</v>
      </c>
      <c r="H83" s="14">
        <v>45010</v>
      </c>
      <c r="I83" s="14">
        <v>45185</v>
      </c>
      <c r="J83" s="47" t="s">
        <v>233</v>
      </c>
      <c r="K83" s="27" t="s">
        <v>231</v>
      </c>
      <c r="L83" s="27" t="s">
        <v>507</v>
      </c>
      <c r="M83" s="7" t="s">
        <v>506</v>
      </c>
      <c r="N83" s="34"/>
    </row>
    <row r="84" spans="1:14" ht="28.5" x14ac:dyDescent="0.45">
      <c r="A84" s="5">
        <f>HYPERLINK(Table1453543[[#This Row],[Image Path]],Table1453543[[#This Row],[Order by Date]])</f>
        <v>61</v>
      </c>
      <c r="B84" s="27" t="s">
        <v>539</v>
      </c>
      <c r="C84" s="12">
        <f t="shared" si="1"/>
        <v>61</v>
      </c>
      <c r="D84" s="9" t="str">
        <f>CONCATENATE("TORS_Documents\",Table1453543[[#This Row],[Instrument No.
San Jacinto]],".pdf")</f>
        <v>TORS_Documents\20232936.pdf</v>
      </c>
      <c r="E84" s="13"/>
      <c r="F84" s="13"/>
      <c r="G84" s="8" t="s">
        <v>650</v>
      </c>
      <c r="H84" s="14">
        <v>45070</v>
      </c>
      <c r="I84" s="14">
        <v>45054</v>
      </c>
      <c r="J84" s="47" t="s">
        <v>597</v>
      </c>
      <c r="K84" s="27" t="s">
        <v>651</v>
      </c>
      <c r="L84" s="27" t="s">
        <v>599</v>
      </c>
      <c r="M84" s="7" t="s">
        <v>652</v>
      </c>
      <c r="N84" s="34"/>
    </row>
    <row r="85" spans="1:14" ht="57" x14ac:dyDescent="0.45">
      <c r="A85" s="5">
        <f>HYPERLINK(Table1453543[[#This Row],[Image Path]],Table1453543[[#This Row],[Order by Date]])</f>
        <v>62</v>
      </c>
      <c r="B85" s="27" t="s">
        <v>653</v>
      </c>
      <c r="C85" s="12">
        <f t="shared" si="1"/>
        <v>62</v>
      </c>
      <c r="D85" s="9" t="str">
        <f>CONCATENATE("TORS_Documents\",Table1453543[[#This Row],[Instrument No.
San Jacinto]],".pdf")</f>
        <v>TORS_Documents\20234541.pdf</v>
      </c>
      <c r="E85" s="28"/>
      <c r="F85" s="28"/>
      <c r="G85" s="180" t="s">
        <v>654</v>
      </c>
      <c r="H85" s="177">
        <v>45152</v>
      </c>
      <c r="I85" s="177">
        <v>45015</v>
      </c>
      <c r="J85" s="47" t="s">
        <v>597</v>
      </c>
      <c r="K85" s="27" t="s">
        <v>618</v>
      </c>
      <c r="L85" s="27" t="s">
        <v>599</v>
      </c>
      <c r="M85" s="27" t="s">
        <v>655</v>
      </c>
      <c r="N85" s="34"/>
    </row>
    <row r="86" spans="1:14" ht="42.75" x14ac:dyDescent="0.45">
      <c r="A86" s="5">
        <f>HYPERLINK(Table1453543[[#This Row],[Image Path]],Table1453543[[#This Row],[Order by Date]])</f>
        <v>63</v>
      </c>
      <c r="B86" s="27" t="s">
        <v>277</v>
      </c>
      <c r="C86" s="12">
        <f t="shared" si="1"/>
        <v>63</v>
      </c>
      <c r="D86" s="9" t="str">
        <f>CONCATENATE("TORS_Documents\",Table1453543[[#This Row],[Instrument No.
San Jacinto]],".pdf")</f>
        <v>TORS_Documents\20235164.pdf</v>
      </c>
      <c r="E86" s="13"/>
      <c r="F86" s="13"/>
      <c r="G86" s="8" t="s">
        <v>229</v>
      </c>
      <c r="H86" s="14">
        <v>45182</v>
      </c>
      <c r="I86" s="14">
        <v>45170</v>
      </c>
      <c r="J86" s="47" t="s">
        <v>230</v>
      </c>
      <c r="K86" s="27" t="s">
        <v>231</v>
      </c>
      <c r="L86" s="7" t="s">
        <v>507</v>
      </c>
      <c r="M86" s="7" t="s">
        <v>506</v>
      </c>
      <c r="N86" s="34"/>
    </row>
    <row r="87" spans="1:14" ht="28.5" x14ac:dyDescent="0.45">
      <c r="A87" s="5">
        <f>HYPERLINK(Table1453543[[#This Row],[Image Path]],Table1453543[[#This Row],[Order by Date]])</f>
        <v>64</v>
      </c>
      <c r="B87" s="27" t="s">
        <v>145</v>
      </c>
      <c r="C87" s="12">
        <f t="shared" si="1"/>
        <v>64</v>
      </c>
      <c r="D87" s="9" t="str">
        <f>CONCATENATE("TORS_Documents\",Table1453543[[#This Row],[Instrument No.
San Jacinto]],".pdf")</f>
        <v>TORS_Documents\20226564.pdf</v>
      </c>
      <c r="E87" s="13"/>
      <c r="F87" s="13"/>
      <c r="G87" s="8" t="s">
        <v>128</v>
      </c>
      <c r="H87" s="14">
        <v>45190</v>
      </c>
      <c r="I87" s="14">
        <v>44820</v>
      </c>
      <c r="J87" s="47" t="s">
        <v>116</v>
      </c>
      <c r="K87" s="27" t="s">
        <v>125</v>
      </c>
      <c r="L87" s="7" t="s">
        <v>525</v>
      </c>
      <c r="M87" s="27" t="s">
        <v>521</v>
      </c>
      <c r="N87" s="34"/>
    </row>
    <row r="88" spans="1:14" ht="42.75" x14ac:dyDescent="0.45">
      <c r="A88" s="5">
        <f>HYPERLINK(Table1453543[[#This Row],[Image Path]],Table1453543[[#This Row],[Order by Date]])</f>
        <v>65</v>
      </c>
      <c r="B88" s="27" t="s">
        <v>146</v>
      </c>
      <c r="C88" s="12">
        <f t="shared" si="1"/>
        <v>65</v>
      </c>
      <c r="D88" s="9" t="str">
        <f>CONCATENATE("TORS_Documents\",Table1453543[[#This Row],[Instrument No.
San Jacinto]],".pdf")</f>
        <v>TORS_Documents\20240688.pdf</v>
      </c>
      <c r="E88" s="28"/>
      <c r="F88" s="28"/>
      <c r="G88" s="180" t="s">
        <v>137</v>
      </c>
      <c r="H88" s="177">
        <v>45330</v>
      </c>
      <c r="I88" s="177">
        <v>45327</v>
      </c>
      <c r="J88" s="47" t="s">
        <v>138</v>
      </c>
      <c r="K88" s="27" t="s">
        <v>139</v>
      </c>
      <c r="L88" s="27" t="s">
        <v>528</v>
      </c>
      <c r="M88" s="27" t="s">
        <v>529</v>
      </c>
      <c r="N88" s="34"/>
    </row>
    <row r="89" spans="1:14" ht="28.5" x14ac:dyDescent="0.45">
      <c r="A89" s="5">
        <f>HYPERLINK(Table1453543[[#This Row],[Image Path]],Table1453543[[#This Row],[Order by Date]])</f>
        <v>66</v>
      </c>
      <c r="B89" s="27" t="s">
        <v>147</v>
      </c>
      <c r="C89" s="12">
        <f t="shared" ref="C89:C100" si="2">C88+1</f>
        <v>66</v>
      </c>
      <c r="D89" s="9" t="str">
        <f>CONCATENATE("TORS_Documents\",Table1453543[[#This Row],[Instrument No.
San Jacinto]],".pdf")</f>
        <v>TORS_Documents\20242142.pdf</v>
      </c>
      <c r="E89" s="28"/>
      <c r="F89" s="28"/>
      <c r="G89" s="180" t="s">
        <v>140</v>
      </c>
      <c r="H89" s="177">
        <v>45399</v>
      </c>
      <c r="I89" s="177">
        <v>45394</v>
      </c>
      <c r="J89" s="22" t="s">
        <v>141</v>
      </c>
      <c r="K89" s="27" t="s">
        <v>142</v>
      </c>
      <c r="L89" s="27" t="s">
        <v>530</v>
      </c>
      <c r="M89" s="27" t="s">
        <v>521</v>
      </c>
      <c r="N89" s="34"/>
    </row>
    <row r="90" spans="1:14" ht="28.5" x14ac:dyDescent="0.45">
      <c r="A90" s="5">
        <f>HYPERLINK(Table1453543[[#This Row],[Image Path]],Table1453543[[#This Row],[Order by Date]])</f>
        <v>67</v>
      </c>
      <c r="B90" s="27" t="s">
        <v>219</v>
      </c>
      <c r="C90" s="12">
        <f t="shared" si="2"/>
        <v>67</v>
      </c>
      <c r="D90" s="9" t="str">
        <f>CONCATENATE("TORS_Documents\",Table1453543[[#This Row],[Instrument No.
San Jacinto]],".pdf")</f>
        <v>TORS_Documents\20242292.pdf</v>
      </c>
      <c r="E90" s="28"/>
      <c r="F90" s="28"/>
      <c r="G90" s="180" t="s">
        <v>220</v>
      </c>
      <c r="H90" s="177">
        <v>45405</v>
      </c>
      <c r="I90" s="177">
        <v>45393</v>
      </c>
      <c r="J90" s="47" t="s">
        <v>221</v>
      </c>
      <c r="K90" s="27" t="s">
        <v>34</v>
      </c>
      <c r="L90" s="27"/>
      <c r="M90" s="27" t="s">
        <v>218</v>
      </c>
      <c r="N90" s="34"/>
    </row>
    <row r="91" spans="1:14" ht="28.5" x14ac:dyDescent="0.45">
      <c r="A91" s="5">
        <f>HYPERLINK(Table1453543[[#This Row],[Image Path]],Table1453543[[#This Row],[Order by Date]])</f>
        <v>68</v>
      </c>
      <c r="B91" s="27" t="s">
        <v>545</v>
      </c>
      <c r="C91" s="12">
        <f t="shared" si="2"/>
        <v>68</v>
      </c>
      <c r="D91" s="9" t="str">
        <f>CONCATENATE("TORS_Documents\",Table1453543[[#This Row],[Instrument No.
San Jacinto]],".pdf")</f>
        <v>TORS_Documents\20242574.pdf</v>
      </c>
      <c r="E91" s="28"/>
      <c r="F91" s="28"/>
      <c r="G91" s="180" t="s">
        <v>656</v>
      </c>
      <c r="H91" s="177">
        <v>45421</v>
      </c>
      <c r="I91" s="177">
        <v>45399</v>
      </c>
      <c r="J91" s="47" t="s">
        <v>636</v>
      </c>
      <c r="K91" s="47" t="s">
        <v>120</v>
      </c>
      <c r="L91" s="27" t="s">
        <v>637</v>
      </c>
      <c r="M91" s="27" t="s">
        <v>657</v>
      </c>
      <c r="N91" s="34"/>
    </row>
    <row r="92" spans="1:14" x14ac:dyDescent="0.45">
      <c r="A92" s="5">
        <f>HYPERLINK(Table1453543[[#This Row],[Image Path]],Table1453543[[#This Row],[Order by Date]])</f>
        <v>69</v>
      </c>
      <c r="B92" s="27" t="s">
        <v>211</v>
      </c>
      <c r="C92" s="12">
        <f t="shared" si="2"/>
        <v>69</v>
      </c>
      <c r="D92" s="9" t="str">
        <f>CONCATENATE("TORS_Documents\",Table1453543[[#This Row],[Instrument No.
San Jacinto]],".pdf")</f>
        <v>TORS_Documents\20241988.pdf</v>
      </c>
      <c r="E92" s="28"/>
      <c r="F92" s="28"/>
      <c r="G92" s="180" t="s">
        <v>482</v>
      </c>
      <c r="H92" s="177">
        <v>45425</v>
      </c>
      <c r="I92" s="177">
        <v>45239</v>
      </c>
      <c r="J92" s="22" t="s">
        <v>108</v>
      </c>
      <c r="K92" s="27" t="s">
        <v>210</v>
      </c>
      <c r="L92" s="27"/>
      <c r="M92" s="27"/>
      <c r="N92" s="34"/>
    </row>
    <row r="93" spans="1:14" ht="28.5" x14ac:dyDescent="0.45">
      <c r="A93" s="5">
        <f>HYPERLINK(Table1453543[[#This Row],[Image Path]],Table1453543[[#This Row],[Order by Date]])</f>
        <v>70</v>
      </c>
      <c r="B93" s="7" t="s">
        <v>484</v>
      </c>
      <c r="C93" s="12">
        <f t="shared" si="2"/>
        <v>70</v>
      </c>
      <c r="D93" s="9" t="str">
        <f>CONCATENATE("TORS_Documents\",Table1453543[[#This Row],[Instrument No.
San Jacinto]],".pdf")</f>
        <v>TORS_Documents\24CPR0065_Probate.pdf</v>
      </c>
      <c r="E93" s="13"/>
      <c r="F93" s="13"/>
      <c r="G93" s="8" t="s">
        <v>483</v>
      </c>
      <c r="H93" s="14">
        <v>45490</v>
      </c>
      <c r="I93" s="14">
        <v>45481</v>
      </c>
      <c r="J93" s="22" t="s">
        <v>485</v>
      </c>
      <c r="K93" s="7" t="s">
        <v>508</v>
      </c>
      <c r="L93" s="7" t="s">
        <v>486</v>
      </c>
      <c r="M93" s="7" t="s">
        <v>509</v>
      </c>
      <c r="N93" s="34"/>
    </row>
    <row r="94" spans="1:14" ht="28.5" x14ac:dyDescent="0.45">
      <c r="A94" s="5">
        <f>HYPERLINK(Table1453543[[#This Row],[Image Path]],Table1453543[[#This Row],[Order by Date]])</f>
        <v>71</v>
      </c>
      <c r="B94" s="27" t="s">
        <v>539</v>
      </c>
      <c r="C94" s="12">
        <f t="shared" si="2"/>
        <v>71</v>
      </c>
      <c r="D94" s="9" t="str">
        <f>CONCATENATE("TORS_Documents\",Table1453543[[#This Row],[Instrument No.
San Jacinto]],".pdf")</f>
        <v>TORS_Documents\20246345.pdf</v>
      </c>
      <c r="E94" s="28"/>
      <c r="F94" s="28"/>
      <c r="G94" s="180" t="s">
        <v>658</v>
      </c>
      <c r="H94" s="177">
        <v>45611</v>
      </c>
      <c r="I94" s="177">
        <v>45611</v>
      </c>
      <c r="J94" s="22" t="s">
        <v>122</v>
      </c>
      <c r="K94" s="27" t="s">
        <v>659</v>
      </c>
      <c r="L94" s="27" t="s">
        <v>660</v>
      </c>
      <c r="M94" s="27" t="s">
        <v>568</v>
      </c>
      <c r="N94" s="34"/>
    </row>
    <row r="95" spans="1:14" ht="28.5" x14ac:dyDescent="0.45">
      <c r="A95" s="5">
        <f>HYPERLINK(Table1453543[[#This Row],[Image Path]],Table1453543[[#This Row],[Order by Date]])</f>
        <v>72</v>
      </c>
      <c r="B95" s="27" t="s">
        <v>143</v>
      </c>
      <c r="C95" s="12">
        <f t="shared" si="2"/>
        <v>72</v>
      </c>
      <c r="D95" s="9" t="str">
        <f>CONCATENATE("TORS_Documents\",Table1453543[[#This Row],[Instrument No.
San Jacinto]],".pdf")</f>
        <v>TORS_Documents\20246347.pdf</v>
      </c>
      <c r="E95" s="28"/>
      <c r="F95" s="28"/>
      <c r="G95" s="180" t="s">
        <v>123</v>
      </c>
      <c r="H95" s="177">
        <v>45616</v>
      </c>
      <c r="I95" s="177">
        <v>45611</v>
      </c>
      <c r="J95" s="47" t="s">
        <v>115</v>
      </c>
      <c r="K95" s="27" t="s">
        <v>122</v>
      </c>
      <c r="L95" s="27" t="s">
        <v>531</v>
      </c>
      <c r="M95" s="27" t="s">
        <v>504</v>
      </c>
      <c r="N95" s="34"/>
    </row>
    <row r="96" spans="1:14" ht="28.5" x14ac:dyDescent="0.45">
      <c r="A96" s="5">
        <f>HYPERLINK(Table1453543[[#This Row],[Image Path]],Table1453543[[#This Row],[Order by Date]])</f>
        <v>73</v>
      </c>
      <c r="B96" s="7" t="s">
        <v>545</v>
      </c>
      <c r="C96" s="12">
        <f t="shared" si="2"/>
        <v>73</v>
      </c>
      <c r="D96" s="9" t="str">
        <f>CONCATENATE("TORS_Documents\",Table1453543[[#This Row],[Instrument No.
San Jacinto]],".pdf")</f>
        <v>TORS_Documents\20246554.pdf</v>
      </c>
      <c r="E96" s="13"/>
      <c r="F96" s="13"/>
      <c r="G96" s="8" t="s">
        <v>661</v>
      </c>
      <c r="H96" s="14">
        <v>45628</v>
      </c>
      <c r="I96" s="14">
        <v>45617</v>
      </c>
      <c r="J96" s="22" t="s">
        <v>594</v>
      </c>
      <c r="K96" s="7" t="s">
        <v>115</v>
      </c>
      <c r="L96" s="7" t="s">
        <v>660</v>
      </c>
      <c r="M96" s="27" t="s">
        <v>595</v>
      </c>
      <c r="N96" s="34"/>
    </row>
    <row r="97" spans="1:14" ht="28.5" x14ac:dyDescent="0.45">
      <c r="A97" s="5">
        <f>HYPERLINK(Table1453543[[#This Row],[Image Path]],Table1453543[[#This Row],[Order by Date]])</f>
        <v>74</v>
      </c>
      <c r="B97" s="7" t="s">
        <v>175</v>
      </c>
      <c r="C97" s="12">
        <f t="shared" si="2"/>
        <v>74</v>
      </c>
      <c r="D97" s="9" t="str">
        <f>CONCATENATE("TORS_Documents\",Table1453543[[#This Row],[Instrument No.
San Jacinto]],".pdf")</f>
        <v>TORS_Documents\P2025-4.pdf</v>
      </c>
      <c r="E97" s="13"/>
      <c r="F97" s="13"/>
      <c r="G97" s="8" t="s">
        <v>212</v>
      </c>
      <c r="H97" s="14">
        <v>45699</v>
      </c>
      <c r="I97" s="14">
        <v>45699</v>
      </c>
      <c r="J97" s="22" t="s">
        <v>492</v>
      </c>
      <c r="K97" s="7" t="s">
        <v>495</v>
      </c>
      <c r="L97" s="7" t="s">
        <v>493</v>
      </c>
      <c r="M97" s="27" t="s">
        <v>494</v>
      </c>
      <c r="N97" s="34"/>
    </row>
    <row r="98" spans="1:14" ht="28.5" x14ac:dyDescent="0.45">
      <c r="A98" s="5">
        <f>HYPERLINK(Table1453543[[#This Row],[Image Path]],Table1453543[[#This Row],[Order by Date]])</f>
        <v>75</v>
      </c>
      <c r="B98" s="7" t="s">
        <v>662</v>
      </c>
      <c r="C98" s="12">
        <f t="shared" si="2"/>
        <v>75</v>
      </c>
      <c r="D98" s="9" t="str">
        <f>CONCATENATE("TORS_Documents\",Table1453543[[#This Row],[Instrument No.
San Jacinto]],".pdf")</f>
        <v>TORS_Documents\20253157.pdf</v>
      </c>
      <c r="E98" s="13"/>
      <c r="F98" s="13"/>
      <c r="G98" s="8" t="s">
        <v>663</v>
      </c>
      <c r="H98" s="14">
        <v>45818</v>
      </c>
      <c r="I98" s="14">
        <v>45817</v>
      </c>
      <c r="J98" s="22" t="s">
        <v>115</v>
      </c>
      <c r="K98" s="7" t="s">
        <v>664</v>
      </c>
      <c r="L98" s="7" t="s">
        <v>665</v>
      </c>
      <c r="M98" s="7" t="s">
        <v>568</v>
      </c>
      <c r="N98" s="34"/>
    </row>
    <row r="99" spans="1:14" ht="28.5" x14ac:dyDescent="0.45">
      <c r="A99" s="5">
        <f>HYPERLINK(Table1453543[[#This Row],[Image Path]],Table1453543[[#This Row],[Order by Date]])</f>
        <v>76</v>
      </c>
      <c r="B99" s="7" t="s">
        <v>539</v>
      </c>
      <c r="C99" s="12">
        <f t="shared" si="2"/>
        <v>76</v>
      </c>
      <c r="D99" s="9" t="str">
        <f>CONCATENATE("TORS_Documents\",Table1453543[[#This Row],[Instrument No.
San Jacinto]],".pdf")</f>
        <v>TORS_Documents\20253156.pdf</v>
      </c>
      <c r="E99" s="13"/>
      <c r="F99" s="13"/>
      <c r="G99" s="8" t="s">
        <v>666</v>
      </c>
      <c r="H99" s="14">
        <v>45818</v>
      </c>
      <c r="I99" s="14">
        <v>45817</v>
      </c>
      <c r="J99" s="22" t="s">
        <v>115</v>
      </c>
      <c r="K99" s="7" t="s">
        <v>667</v>
      </c>
      <c r="L99" s="7" t="s">
        <v>665</v>
      </c>
      <c r="M99" s="7" t="s">
        <v>568</v>
      </c>
      <c r="N99" s="34"/>
    </row>
    <row r="100" spans="1:14" ht="28.5" x14ac:dyDescent="0.45">
      <c r="A100" s="5">
        <f>HYPERLINK(Table1453543[[#This Row],[Image Path]],Table1453543[[#This Row],[Order by Date]])</f>
        <v>77</v>
      </c>
      <c r="B100" s="7" t="s">
        <v>545</v>
      </c>
      <c r="C100" s="12">
        <f t="shared" si="2"/>
        <v>77</v>
      </c>
      <c r="D100" s="9" t="str">
        <f>CONCATENATE("TORS_Documents\",Table1453543[[#This Row],[Instrument No.
San Jacinto]],".pdf")</f>
        <v>TORS_Documents\20255881.pdf</v>
      </c>
      <c r="E100" s="13"/>
      <c r="F100" s="13"/>
      <c r="G100" s="8" t="s">
        <v>668</v>
      </c>
      <c r="H100" s="14">
        <v>45945</v>
      </c>
      <c r="I100" s="14">
        <v>45929</v>
      </c>
      <c r="J100" s="7" t="s">
        <v>636</v>
      </c>
      <c r="K100" s="22" t="s">
        <v>122</v>
      </c>
      <c r="L100" s="7" t="s">
        <v>647</v>
      </c>
      <c r="M100" s="7" t="s">
        <v>669</v>
      </c>
      <c r="N100" s="34"/>
    </row>
  </sheetData>
  <phoneticPr fontId="3" type="noConversion"/>
  <pageMargins left="0.5" right="0.5" top="1" bottom="0.75" header="0.3" footer="0.3"/>
  <pageSetup paperSize="5" scale="58" fitToHeight="0" orientation="landscape" horizontalDpi="1200" verticalDpi="1200" r:id="rId1"/>
  <headerFooter>
    <oddHeader>&amp;LUnit Tract 2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781-C592-4494-AFCC-4C244DCECE5E}">
  <sheetPr>
    <pageSetUpPr fitToPage="1"/>
  </sheetPr>
  <dimension ref="A1:N52"/>
  <sheetViews>
    <sheetView topLeftCell="A45" zoomScale="90" zoomScaleNormal="90" workbookViewId="0">
      <selection activeCell="A39" sqref="A39"/>
    </sheetView>
  </sheetViews>
  <sheetFormatPr defaultColWidth="8.796875" defaultRowHeight="14.25" x14ac:dyDescent="0.45"/>
  <cols>
    <col min="1" max="1" width="15.33203125" style="3" customWidth="1"/>
    <col min="2" max="2" width="16.59765625" style="24" customWidth="1"/>
    <col min="3" max="3" width="8.796875" style="30" customWidth="1"/>
    <col min="4" max="4" width="41" style="24" customWidth="1"/>
    <col min="5" max="5" width="11.33203125" style="30" customWidth="1"/>
    <col min="6" max="6" width="9.796875" style="30" customWidth="1"/>
    <col min="7" max="7" width="16.796875" style="86" customWidth="1"/>
    <col min="8" max="8" width="15.33203125" style="86" customWidth="1"/>
    <col min="9" max="9" width="15.59765625" style="11" customWidth="1"/>
    <col min="10" max="10" width="49.33203125" style="30" customWidth="1"/>
    <col min="11" max="11" width="49.33203125" style="24" customWidth="1"/>
    <col min="12" max="12" width="52.06640625" style="24" customWidth="1"/>
    <col min="13" max="13" width="59.53125" style="66" customWidth="1"/>
    <col min="14" max="14" width="15.06640625" style="67" customWidth="1"/>
    <col min="15" max="16384" width="8.796875" style="24"/>
  </cols>
  <sheetData>
    <row r="1" spans="1:14" ht="54.4" customHeight="1" thickBot="1" x14ac:dyDescent="0.5">
      <c r="A1" s="146" t="s">
        <v>73</v>
      </c>
      <c r="B1" s="146" t="s">
        <v>0</v>
      </c>
      <c r="C1" s="146" t="s">
        <v>1</v>
      </c>
      <c r="D1" s="146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52" t="s">
        <v>11</v>
      </c>
      <c r="N1" s="148" t="s">
        <v>370</v>
      </c>
    </row>
    <row r="2" spans="1:14" s="21" customFormat="1" ht="42.75" x14ac:dyDescent="0.45">
      <c r="A2" s="98" t="str">
        <f>HYPERLINK(Table14535434[[#This Row],[Image Path]],Table14535434[[#This Row],[Order by Date]])</f>
        <v>1</v>
      </c>
      <c r="B2" s="71" t="s">
        <v>29</v>
      </c>
      <c r="C2" s="74" t="s">
        <v>67</v>
      </c>
      <c r="D2" s="94" t="str">
        <f>CONCATENATE("TORS_Documents\",Table14535434[[#This Row],[Instrument No.
San Jacinto]],".pdf")</f>
        <v>TORS_Documents\DOTO_ElmoreC-1_Unit.pdf</v>
      </c>
      <c r="E2" s="149"/>
      <c r="F2" s="149"/>
      <c r="G2" s="178" t="s">
        <v>30</v>
      </c>
      <c r="H2" s="130">
        <v>39968</v>
      </c>
      <c r="I2" s="130">
        <v>39906</v>
      </c>
      <c r="J2" s="93" t="s">
        <v>31</v>
      </c>
      <c r="K2" s="71" t="s">
        <v>32</v>
      </c>
      <c r="L2" s="71" t="s">
        <v>351</v>
      </c>
      <c r="M2" s="71" t="s">
        <v>454</v>
      </c>
      <c r="N2" s="151"/>
    </row>
    <row r="3" spans="1:14" x14ac:dyDescent="0.45">
      <c r="A3" s="5"/>
      <c r="B3" s="21"/>
      <c r="C3" s="12"/>
      <c r="D3" s="21"/>
      <c r="E3" s="13"/>
      <c r="F3" s="13"/>
      <c r="G3" s="179"/>
      <c r="H3" s="130"/>
      <c r="I3" s="75"/>
      <c r="J3" s="59" t="s">
        <v>22</v>
      </c>
      <c r="K3" s="56" t="s">
        <v>368</v>
      </c>
      <c r="L3" s="7"/>
      <c r="M3" s="60" t="s">
        <v>331</v>
      </c>
      <c r="N3" s="34">
        <v>0.20238095</v>
      </c>
    </row>
    <row r="4" spans="1:14" ht="28.5" x14ac:dyDescent="0.45">
      <c r="A4" s="5"/>
      <c r="B4" s="21"/>
      <c r="C4" s="12"/>
      <c r="D4" s="21"/>
      <c r="E4" s="13"/>
      <c r="F4" s="13"/>
      <c r="G4" s="179"/>
      <c r="H4" s="130"/>
      <c r="I4" s="75"/>
      <c r="J4" s="42" t="s">
        <v>236</v>
      </c>
      <c r="K4" s="56" t="s">
        <v>367</v>
      </c>
      <c r="L4" s="7"/>
      <c r="M4" s="54" t="s">
        <v>671</v>
      </c>
      <c r="N4" s="34">
        <f>37/168</f>
        <v>0.22023809523809523</v>
      </c>
    </row>
    <row r="5" spans="1:14" ht="42.75" x14ac:dyDescent="0.45">
      <c r="A5" s="5"/>
      <c r="B5" s="21"/>
      <c r="C5" s="12"/>
      <c r="D5" s="21"/>
      <c r="E5" s="13"/>
      <c r="F5" s="13"/>
      <c r="G5" s="179"/>
      <c r="H5" s="130"/>
      <c r="I5" s="75"/>
      <c r="J5" s="42" t="s">
        <v>237</v>
      </c>
      <c r="K5" s="56" t="s">
        <v>368</v>
      </c>
      <c r="L5" s="7" t="s">
        <v>440</v>
      </c>
      <c r="M5" s="60" t="s">
        <v>343</v>
      </c>
      <c r="N5" s="34">
        <v>7.7380950000000004E-2</v>
      </c>
    </row>
    <row r="6" spans="1:14" x14ac:dyDescent="0.45">
      <c r="A6" s="5"/>
      <c r="B6" s="21"/>
      <c r="C6" s="12"/>
      <c r="D6" s="21"/>
      <c r="E6" s="13"/>
      <c r="F6" s="13"/>
      <c r="G6" s="179"/>
      <c r="H6" s="130"/>
      <c r="I6" s="75"/>
      <c r="J6" s="62" t="s">
        <v>253</v>
      </c>
      <c r="K6" s="56" t="s">
        <v>368</v>
      </c>
      <c r="L6" s="7"/>
      <c r="M6" s="63" t="s">
        <v>344</v>
      </c>
      <c r="N6" s="34">
        <v>0.125</v>
      </c>
    </row>
    <row r="7" spans="1:14" x14ac:dyDescent="0.45">
      <c r="A7" s="5"/>
      <c r="B7" s="21"/>
      <c r="C7" s="12"/>
      <c r="D7" s="21"/>
      <c r="E7" s="13"/>
      <c r="F7" s="13"/>
      <c r="G7" s="179"/>
      <c r="H7" s="130"/>
      <c r="I7" s="75"/>
      <c r="J7" s="22" t="s">
        <v>108</v>
      </c>
      <c r="K7" s="56" t="s">
        <v>367</v>
      </c>
      <c r="L7" s="7"/>
      <c r="M7" s="60" t="s">
        <v>332</v>
      </c>
      <c r="N7" s="34">
        <v>6.7460320000000004E-2</v>
      </c>
    </row>
    <row r="8" spans="1:14" x14ac:dyDescent="0.45">
      <c r="A8" s="5"/>
      <c r="B8" s="21"/>
      <c r="C8" s="12"/>
      <c r="D8" s="21"/>
      <c r="E8" s="13"/>
      <c r="F8" s="13"/>
      <c r="G8" s="179"/>
      <c r="H8" s="130"/>
      <c r="I8" s="75"/>
      <c r="J8" s="22" t="s">
        <v>238</v>
      </c>
      <c r="K8" s="56" t="s">
        <v>367</v>
      </c>
      <c r="L8" s="7"/>
      <c r="M8" s="60" t="s">
        <v>333</v>
      </c>
      <c r="N8" s="34">
        <v>3.3730160000000002E-2</v>
      </c>
    </row>
    <row r="9" spans="1:14" x14ac:dyDescent="0.45">
      <c r="A9" s="5"/>
      <c r="B9" s="21"/>
      <c r="C9" s="12"/>
      <c r="D9" s="21"/>
      <c r="E9" s="13"/>
      <c r="F9" s="13"/>
      <c r="G9" s="179"/>
      <c r="H9" s="130"/>
      <c r="I9" s="75"/>
      <c r="J9" s="22" t="s">
        <v>111</v>
      </c>
      <c r="K9" s="56" t="s">
        <v>367</v>
      </c>
      <c r="L9" s="7"/>
      <c r="M9" s="60" t="s">
        <v>333</v>
      </c>
      <c r="N9" s="34">
        <v>3.3730160000000002E-2</v>
      </c>
    </row>
    <row r="10" spans="1:14" x14ac:dyDescent="0.45">
      <c r="A10" s="5"/>
      <c r="B10" s="21"/>
      <c r="C10" s="12"/>
      <c r="D10" s="21"/>
      <c r="E10" s="13"/>
      <c r="F10" s="13"/>
      <c r="G10" s="179"/>
      <c r="H10" s="130"/>
      <c r="I10" s="75"/>
      <c r="J10" s="22" t="s">
        <v>112</v>
      </c>
      <c r="K10" s="56" t="s">
        <v>367</v>
      </c>
      <c r="L10" s="7"/>
      <c r="M10" s="60" t="s">
        <v>334</v>
      </c>
      <c r="N10" s="34">
        <v>2.248677E-2</v>
      </c>
    </row>
    <row r="11" spans="1:14" x14ac:dyDescent="0.45">
      <c r="A11" s="5"/>
      <c r="B11" s="21"/>
      <c r="C11" s="12"/>
      <c r="D11" s="21"/>
      <c r="E11" s="13"/>
      <c r="F11" s="13"/>
      <c r="G11" s="179"/>
      <c r="H11" s="130"/>
      <c r="I11" s="75"/>
      <c r="J11" s="22" t="s">
        <v>239</v>
      </c>
      <c r="K11" s="56" t="s">
        <v>368</v>
      </c>
      <c r="L11" s="7"/>
      <c r="M11" s="60" t="s">
        <v>334</v>
      </c>
      <c r="N11" s="34">
        <v>2.248677E-2</v>
      </c>
    </row>
    <row r="12" spans="1:14" x14ac:dyDescent="0.45">
      <c r="A12" s="5"/>
      <c r="B12" s="7"/>
      <c r="C12" s="12"/>
      <c r="D12" s="21"/>
      <c r="E12" s="13"/>
      <c r="F12" s="13"/>
      <c r="G12" s="179"/>
      <c r="H12" s="130"/>
      <c r="I12" s="75"/>
      <c r="J12" s="22" t="s">
        <v>240</v>
      </c>
      <c r="K12" s="56" t="s">
        <v>367</v>
      </c>
      <c r="L12" s="7"/>
      <c r="M12" s="60" t="s">
        <v>335</v>
      </c>
      <c r="N12" s="34">
        <v>1.1243390000000001E-2</v>
      </c>
    </row>
    <row r="13" spans="1:14" x14ac:dyDescent="0.45">
      <c r="A13" s="5"/>
      <c r="B13" s="7"/>
      <c r="C13" s="12"/>
      <c r="D13" s="21"/>
      <c r="E13" s="13"/>
      <c r="F13" s="13"/>
      <c r="G13" s="179"/>
      <c r="H13" s="130"/>
      <c r="I13" s="75"/>
      <c r="J13" s="22" t="s">
        <v>241</v>
      </c>
      <c r="K13" s="56" t="s">
        <v>367</v>
      </c>
      <c r="L13" s="7"/>
      <c r="M13" s="60" t="s">
        <v>335</v>
      </c>
      <c r="N13" s="34">
        <v>1.1243390000000001E-2</v>
      </c>
    </row>
    <row r="14" spans="1:14" ht="57" x14ac:dyDescent="0.45">
      <c r="A14" s="5"/>
      <c r="B14" s="7"/>
      <c r="C14" s="12"/>
      <c r="D14" s="21"/>
      <c r="E14" s="13"/>
      <c r="F14" s="13"/>
      <c r="G14" s="179"/>
      <c r="H14" s="130"/>
      <c r="I14" s="75"/>
      <c r="J14" s="7" t="s">
        <v>513</v>
      </c>
      <c r="K14" s="7" t="s">
        <v>366</v>
      </c>
      <c r="L14" s="7"/>
      <c r="M14" s="60" t="s">
        <v>342</v>
      </c>
      <c r="N14" s="34">
        <v>4.7619050000000003E-2</v>
      </c>
    </row>
    <row r="15" spans="1:14" x14ac:dyDescent="0.45">
      <c r="A15" s="5"/>
      <c r="B15" s="7"/>
      <c r="C15" s="12"/>
      <c r="D15" s="21"/>
      <c r="E15" s="13"/>
      <c r="F15" s="13"/>
      <c r="G15" s="179"/>
      <c r="H15" s="130"/>
      <c r="I15" s="75"/>
      <c r="J15" s="7" t="s">
        <v>249</v>
      </c>
      <c r="K15" s="56" t="s">
        <v>367</v>
      </c>
      <c r="L15" s="7"/>
      <c r="M15" s="60" t="s">
        <v>341</v>
      </c>
      <c r="N15" s="34">
        <v>1.190476E-2</v>
      </c>
    </row>
    <row r="16" spans="1:14" x14ac:dyDescent="0.45">
      <c r="A16" s="5"/>
      <c r="B16" s="21"/>
      <c r="C16" s="12"/>
      <c r="D16" s="21"/>
      <c r="E16" s="13"/>
      <c r="F16" s="13"/>
      <c r="G16" s="179"/>
      <c r="H16" s="130"/>
      <c r="I16" s="75"/>
      <c r="J16" s="22" t="s">
        <v>242</v>
      </c>
      <c r="K16" s="7" t="s">
        <v>366</v>
      </c>
      <c r="L16" s="7"/>
      <c r="M16" s="60" t="s">
        <v>336</v>
      </c>
      <c r="N16" s="34">
        <v>2.232143E-2</v>
      </c>
    </row>
    <row r="17" spans="1:14" x14ac:dyDescent="0.45">
      <c r="A17" s="5"/>
      <c r="B17" s="21"/>
      <c r="C17" s="12"/>
      <c r="D17" s="21"/>
      <c r="E17" s="13"/>
      <c r="F17" s="13"/>
      <c r="G17" s="179"/>
      <c r="H17" s="130"/>
      <c r="I17" s="75"/>
      <c r="J17" s="22" t="s">
        <v>243</v>
      </c>
      <c r="K17" s="7" t="s">
        <v>366</v>
      </c>
      <c r="L17" s="7"/>
      <c r="M17" s="60" t="s">
        <v>336</v>
      </c>
      <c r="N17" s="34">
        <v>2.232143E-2</v>
      </c>
    </row>
    <row r="18" spans="1:14" x14ac:dyDescent="0.45">
      <c r="A18" s="5"/>
      <c r="B18" s="21"/>
      <c r="C18" s="12"/>
      <c r="D18" s="21"/>
      <c r="E18" s="13"/>
      <c r="F18" s="13"/>
      <c r="G18" s="179"/>
      <c r="H18" s="130"/>
      <c r="I18" s="75"/>
      <c r="J18" s="22" t="s">
        <v>244</v>
      </c>
      <c r="K18" s="7" t="s">
        <v>366</v>
      </c>
      <c r="L18" s="7"/>
      <c r="M18" s="60" t="s">
        <v>336</v>
      </c>
      <c r="N18" s="34">
        <v>2.232143E-2</v>
      </c>
    </row>
    <row r="19" spans="1:14" x14ac:dyDescent="0.45">
      <c r="A19" s="5"/>
      <c r="B19" s="21"/>
      <c r="C19" s="12"/>
      <c r="D19" s="21"/>
      <c r="E19" s="13"/>
      <c r="F19" s="13"/>
      <c r="G19" s="179"/>
      <c r="H19" s="130"/>
      <c r="I19" s="75"/>
      <c r="J19" s="22" t="s">
        <v>245</v>
      </c>
      <c r="K19" s="7" t="s">
        <v>366</v>
      </c>
      <c r="L19" s="7"/>
      <c r="M19" s="60" t="s">
        <v>336</v>
      </c>
      <c r="N19" s="34">
        <v>2.232143E-2</v>
      </c>
    </row>
    <row r="20" spans="1:14" ht="20" customHeight="1" x14ac:dyDescent="0.45">
      <c r="A20" s="5"/>
      <c r="B20" s="7"/>
      <c r="C20" s="12"/>
      <c r="D20" s="21"/>
      <c r="E20" s="13"/>
      <c r="F20" s="13"/>
      <c r="G20" s="179"/>
      <c r="H20" s="130"/>
      <c r="I20" s="75"/>
      <c r="J20" s="22" t="s">
        <v>256</v>
      </c>
      <c r="K20" s="56" t="s">
        <v>367</v>
      </c>
      <c r="L20" s="7"/>
      <c r="M20" s="60" t="s">
        <v>337</v>
      </c>
      <c r="N20" s="34">
        <v>5.9523800000000002E-3</v>
      </c>
    </row>
    <row r="21" spans="1:14" ht="20" customHeight="1" x14ac:dyDescent="0.45">
      <c r="A21" s="5"/>
      <c r="B21" s="7"/>
      <c r="C21" s="12"/>
      <c r="D21" s="21"/>
      <c r="E21" s="13"/>
      <c r="F21" s="13"/>
      <c r="G21" s="179"/>
      <c r="H21" s="130"/>
      <c r="I21" s="75"/>
      <c r="J21" s="22" t="s">
        <v>257</v>
      </c>
      <c r="K21" s="56" t="s">
        <v>367</v>
      </c>
      <c r="L21" s="7"/>
      <c r="M21" s="60" t="s">
        <v>337</v>
      </c>
      <c r="N21" s="34">
        <v>5.9523800000000002E-3</v>
      </c>
    </row>
    <row r="22" spans="1:14" ht="20" customHeight="1" x14ac:dyDescent="0.45">
      <c r="A22" s="5"/>
      <c r="B22" s="7"/>
      <c r="C22" s="12"/>
      <c r="D22" s="21"/>
      <c r="E22" s="13"/>
      <c r="F22" s="13"/>
      <c r="G22" s="179"/>
      <c r="H22" s="130"/>
      <c r="I22" s="75"/>
      <c r="J22" s="22" t="s">
        <v>258</v>
      </c>
      <c r="K22" s="56" t="s">
        <v>367</v>
      </c>
      <c r="L22" s="7"/>
      <c r="M22" s="60" t="s">
        <v>337</v>
      </c>
      <c r="N22" s="34">
        <v>5.9523800000000002E-3</v>
      </c>
    </row>
    <row r="23" spans="1:14" x14ac:dyDescent="0.45">
      <c r="A23" s="5"/>
      <c r="B23" s="21"/>
      <c r="C23" s="12"/>
      <c r="D23" s="21"/>
      <c r="E23" s="13"/>
      <c r="F23" s="13"/>
      <c r="G23" s="179"/>
      <c r="H23" s="130"/>
      <c r="I23" s="75"/>
      <c r="J23" s="22" t="s">
        <v>259</v>
      </c>
      <c r="K23" s="56" t="s">
        <v>367</v>
      </c>
      <c r="L23" s="7"/>
      <c r="M23" s="60" t="s">
        <v>337</v>
      </c>
      <c r="N23" s="34">
        <v>5.9523800000000002E-3</v>
      </c>
    </row>
    <row r="24" spans="1:14" ht="14.65" thickBot="1" x14ac:dyDescent="0.5">
      <c r="A24" s="141" t="s">
        <v>385</v>
      </c>
      <c r="B24" s="77"/>
      <c r="C24" s="78"/>
      <c r="D24" s="79"/>
      <c r="E24" s="80"/>
      <c r="F24" s="80"/>
      <c r="G24" s="81"/>
      <c r="H24" s="81"/>
      <c r="I24" s="81"/>
      <c r="J24" s="77"/>
      <c r="K24" s="77"/>
      <c r="L24" s="77"/>
      <c r="M24" s="77"/>
      <c r="N24" s="140">
        <f>SUBTOTAL(109,N2:N23)</f>
        <v>1.0000000052380948</v>
      </c>
    </row>
    <row r="25" spans="1:14" ht="28.5" x14ac:dyDescent="0.45">
      <c r="A25" s="5">
        <f>HYPERLINK(Table14535434[[#This Row],[Image Path]],Table14535434[[#This Row],[Order by Date]])</f>
        <v>1</v>
      </c>
      <c r="B25" s="7" t="s">
        <v>151</v>
      </c>
      <c r="C25" s="12">
        <v>1</v>
      </c>
      <c r="D25" s="21" t="str">
        <f>CONCATENATE("TORS_Documents\",Table14535434[[#This Row],[Instrument No.
San Jacinto]],".pdf")</f>
        <v>TORS_Documents\09-3821.pdf</v>
      </c>
      <c r="E25" s="13"/>
      <c r="F25" s="13"/>
      <c r="G25" s="8" t="s">
        <v>386</v>
      </c>
      <c r="H25" s="14">
        <v>39981</v>
      </c>
      <c r="I25" s="14">
        <v>38657</v>
      </c>
      <c r="J25" s="22" t="s">
        <v>148</v>
      </c>
      <c r="K25" s="7" t="s">
        <v>149</v>
      </c>
      <c r="L25" s="7" t="s">
        <v>150</v>
      </c>
      <c r="M25" s="60"/>
      <c r="N25" s="61"/>
    </row>
    <row r="26" spans="1:14" ht="28.5" x14ac:dyDescent="0.45">
      <c r="A26" s="5">
        <f>HYPERLINK(Table14535434[[#This Row],[Image Path]],Table14535434[[#This Row],[Order by Date]])</f>
        <v>2</v>
      </c>
      <c r="B26" s="7" t="s">
        <v>175</v>
      </c>
      <c r="C26" s="12">
        <f t="shared" ref="C26:C52" si="0">C25+1</f>
        <v>2</v>
      </c>
      <c r="D26" s="21" t="str">
        <f>CONCATENATE("TORS_Documents\",Table14535434[[#This Row],[Instrument No.
San Jacinto]],".pdf")</f>
        <v>TORS_Documents\11-4768.pdf</v>
      </c>
      <c r="E26" s="13"/>
      <c r="F26" s="13"/>
      <c r="G26" s="8" t="s">
        <v>388</v>
      </c>
      <c r="H26" s="14">
        <v>40801</v>
      </c>
      <c r="I26" s="14">
        <v>40542</v>
      </c>
      <c r="J26" s="22" t="s">
        <v>188</v>
      </c>
      <c r="K26" s="7" t="s">
        <v>189</v>
      </c>
      <c r="L26" s="7" t="s">
        <v>16</v>
      </c>
      <c r="M26" s="60"/>
      <c r="N26" s="61"/>
    </row>
    <row r="27" spans="1:14" ht="42.75" x14ac:dyDescent="0.45">
      <c r="A27" s="5">
        <f>HYPERLINK(Table14535434[[#This Row],[Image Path]],Table14535434[[#This Row],[Order by Date]])</f>
        <v>3</v>
      </c>
      <c r="B27" s="7" t="s">
        <v>198</v>
      </c>
      <c r="C27" s="12">
        <f t="shared" si="0"/>
        <v>3</v>
      </c>
      <c r="D27" s="21" t="str">
        <f>CONCATENATE("TORS_Documents\",Table14535434[[#This Row],[Instrument No.
San Jacinto]],".pdf")</f>
        <v>TORS_Documents\2012006700.pdf</v>
      </c>
      <c r="E27" s="13"/>
      <c r="F27" s="13"/>
      <c r="G27" s="8" t="s">
        <v>426</v>
      </c>
      <c r="H27" s="14">
        <v>41263</v>
      </c>
      <c r="I27" s="14">
        <v>12</v>
      </c>
      <c r="J27" s="22" t="s">
        <v>190</v>
      </c>
      <c r="K27" s="7" t="s">
        <v>191</v>
      </c>
      <c r="L27" s="7" t="s">
        <v>192</v>
      </c>
      <c r="M27" s="60"/>
      <c r="N27" s="61"/>
    </row>
    <row r="28" spans="1:14" ht="28.5" x14ac:dyDescent="0.45">
      <c r="A28" s="5">
        <f>HYPERLINK(Table14535434[[#This Row],[Image Path]],Table14535434[[#This Row],[Order by Date]])</f>
        <v>4</v>
      </c>
      <c r="B28" s="7" t="s">
        <v>275</v>
      </c>
      <c r="C28" s="12">
        <f t="shared" si="0"/>
        <v>4</v>
      </c>
      <c r="D28" s="21" t="str">
        <f>CONCATENATE("TORS_Documents\",Table14535434[[#This Row],[Instrument No.
San Jacinto]],".pdf")</f>
        <v>TORS_Documents\2012006703.pdf</v>
      </c>
      <c r="E28" s="13"/>
      <c r="F28" s="13"/>
      <c r="G28" s="8" t="s">
        <v>427</v>
      </c>
      <c r="H28" s="14">
        <v>41263</v>
      </c>
      <c r="I28" s="14">
        <v>41223</v>
      </c>
      <c r="J28" s="22" t="s">
        <v>193</v>
      </c>
      <c r="K28" s="7" t="s">
        <v>194</v>
      </c>
      <c r="L28" s="7" t="s">
        <v>195</v>
      </c>
      <c r="M28" s="60"/>
      <c r="N28" s="61"/>
    </row>
    <row r="29" spans="1:14" ht="28.5" x14ac:dyDescent="0.45">
      <c r="A29" s="5">
        <f>HYPERLINK(Table14535434[[#This Row],[Image Path]],Table14535434[[#This Row],[Order by Date]])</f>
        <v>5</v>
      </c>
      <c r="B29" s="7" t="s">
        <v>200</v>
      </c>
      <c r="C29" s="12">
        <f t="shared" si="0"/>
        <v>5</v>
      </c>
      <c r="D29" s="21" t="str">
        <f>CONCATENATE("TORS_Documents\",Table14535434[[#This Row],[Instrument No.
San Jacinto]],".pdf")</f>
        <v>TORS_Documents\2012006704.pdf</v>
      </c>
      <c r="E29" s="13"/>
      <c r="F29" s="13"/>
      <c r="G29" s="8" t="s">
        <v>428</v>
      </c>
      <c r="H29" s="14">
        <v>41263</v>
      </c>
      <c r="I29" s="14">
        <v>41244</v>
      </c>
      <c r="J29" s="22" t="s">
        <v>194</v>
      </c>
      <c r="K29" s="7" t="s">
        <v>196</v>
      </c>
      <c r="L29" s="7" t="s">
        <v>197</v>
      </c>
      <c r="M29" s="60"/>
      <c r="N29" s="61"/>
    </row>
    <row r="30" spans="1:14" ht="28.5" x14ac:dyDescent="0.45">
      <c r="A30" s="5">
        <f>HYPERLINK(Table14535434[[#This Row],[Image Path]],Table14535434[[#This Row],[Order by Date]])</f>
        <v>6</v>
      </c>
      <c r="B30" s="7" t="s">
        <v>219</v>
      </c>
      <c r="C30" s="12">
        <f t="shared" si="0"/>
        <v>6</v>
      </c>
      <c r="D30" s="21" t="str">
        <f>CONCATENATE("TORS_Documents\",Table14535434[[#This Row],[Instrument No.
San Jacinto]],".pdf")</f>
        <v>TORS_Documents\20172674.pdf</v>
      </c>
      <c r="E30" s="13"/>
      <c r="F30" s="13"/>
      <c r="G30" s="8" t="s">
        <v>216</v>
      </c>
      <c r="H30" s="14">
        <v>42871</v>
      </c>
      <c r="I30" s="14">
        <v>42853</v>
      </c>
      <c r="J30" s="22" t="s">
        <v>217</v>
      </c>
      <c r="K30" s="7" t="s">
        <v>34</v>
      </c>
      <c r="L30" s="7" t="s">
        <v>218</v>
      </c>
      <c r="M30" s="60"/>
      <c r="N30" s="61"/>
    </row>
    <row r="31" spans="1:14" ht="42.75" x14ac:dyDescent="0.45">
      <c r="A31" s="5">
        <f>HYPERLINK(Table14535434[[#This Row],[Image Path]],Table14535434[[#This Row],[Order by Date]])</f>
        <v>7</v>
      </c>
      <c r="B31" s="7" t="s">
        <v>215</v>
      </c>
      <c r="C31" s="12">
        <f t="shared" si="0"/>
        <v>7</v>
      </c>
      <c r="D31" s="21" t="str">
        <f>CONCATENATE("TORS_Documents\",Table14535434[[#This Row],[Instrument No.
San Jacinto]],".pdf")</f>
        <v>TORS_Documents\20174126.pdf</v>
      </c>
      <c r="E31" s="13"/>
      <c r="F31" s="13"/>
      <c r="G31" s="8" t="s">
        <v>222</v>
      </c>
      <c r="H31" s="14">
        <v>42933</v>
      </c>
      <c r="I31" s="14">
        <v>42886</v>
      </c>
      <c r="J31" s="22" t="s">
        <v>223</v>
      </c>
      <c r="K31" s="7" t="s">
        <v>224</v>
      </c>
      <c r="L31" s="7" t="s">
        <v>16</v>
      </c>
      <c r="M31" s="60"/>
      <c r="N31" s="61"/>
    </row>
    <row r="32" spans="1:14" s="17" customFormat="1" ht="28.5" x14ac:dyDescent="0.45">
      <c r="A32" s="5">
        <f>HYPERLINK(Table14535434[[#This Row],[Image Path]],Table14535434[[#This Row],[Order by Date]])</f>
        <v>8</v>
      </c>
      <c r="B32" s="7" t="s">
        <v>175</v>
      </c>
      <c r="C32" s="12">
        <f t="shared" si="0"/>
        <v>8</v>
      </c>
      <c r="D32" s="21" t="str">
        <f>CONCATENATE("TORS_Documents\",Table14535434[[#This Row],[Instrument No.
San Jacinto]],".pdf")</f>
        <v>TORS_Documents\P2018-68.pdf</v>
      </c>
      <c r="E32" s="13"/>
      <c r="F32" s="13"/>
      <c r="G32" s="8" t="s">
        <v>171</v>
      </c>
      <c r="H32" s="14">
        <v>43356</v>
      </c>
      <c r="I32" s="14">
        <v>43329</v>
      </c>
      <c r="J32" s="22" t="s">
        <v>510</v>
      </c>
      <c r="K32" s="7" t="s">
        <v>512</v>
      </c>
      <c r="L32" s="7" t="s">
        <v>16</v>
      </c>
      <c r="M32" s="60" t="s">
        <v>511</v>
      </c>
      <c r="N32" s="61"/>
    </row>
    <row r="33" spans="1:14" ht="42.75" x14ac:dyDescent="0.45">
      <c r="A33" s="5">
        <f>HYPERLINK(Table14535434[[#This Row],[Image Path]],Table14535434[[#This Row],[Order by Date]])</f>
        <v>9</v>
      </c>
      <c r="B33" s="7" t="s">
        <v>228</v>
      </c>
      <c r="C33" s="12">
        <f t="shared" si="0"/>
        <v>9</v>
      </c>
      <c r="D33" s="21" t="str">
        <f>CONCATENATE("TORS_Documents\",Table14535434[[#This Row],[Instrument No.
San Jacinto]],".pdf")</f>
        <v>TORS_Documents\20191765.pdf</v>
      </c>
      <c r="E33" s="13"/>
      <c r="F33" s="13"/>
      <c r="G33" s="8" t="s">
        <v>225</v>
      </c>
      <c r="H33" s="14">
        <v>43549</v>
      </c>
      <c r="I33" s="14">
        <v>43545</v>
      </c>
      <c r="J33" s="22" t="s">
        <v>242</v>
      </c>
      <c r="K33" s="7" t="s">
        <v>227</v>
      </c>
      <c r="L33" s="7" t="s">
        <v>507</v>
      </c>
      <c r="M33" s="7" t="s">
        <v>506</v>
      </c>
      <c r="N33" s="34"/>
    </row>
    <row r="34" spans="1:14" s="17" customFormat="1" ht="28.5" x14ac:dyDescent="0.45">
      <c r="A34" s="5">
        <f>HYPERLINK(Table14535434[[#This Row],[Image Path]],Table14535434[[#This Row],[Order by Date]])</f>
        <v>10</v>
      </c>
      <c r="B34" s="7" t="s">
        <v>496</v>
      </c>
      <c r="C34" s="12">
        <f t="shared" si="0"/>
        <v>10</v>
      </c>
      <c r="D34" s="21" t="str">
        <f>CONCATENATE("TORS_Documents\",Table14535434[[#This Row],[Instrument No.
San Jacinto]],".pdf")</f>
        <v>TORS_Documents\2018-CPC-00366.pdf</v>
      </c>
      <c r="E34" s="13"/>
      <c r="F34" s="13"/>
      <c r="G34" s="8" t="s">
        <v>234</v>
      </c>
      <c r="H34" s="14">
        <v>43714</v>
      </c>
      <c r="I34" s="14">
        <v>43564</v>
      </c>
      <c r="J34" s="22" t="s">
        <v>498</v>
      </c>
      <c r="K34" s="7" t="s">
        <v>497</v>
      </c>
      <c r="L34" s="7"/>
      <c r="M34" s="7" t="s">
        <v>499</v>
      </c>
      <c r="N34" s="34"/>
    </row>
    <row r="35" spans="1:14" ht="28.5" x14ac:dyDescent="0.45">
      <c r="A35" s="5">
        <f>HYPERLINK(Table14535434[[#This Row],[Image Path]],Table14535434[[#This Row],[Order by Date]])</f>
        <v>11</v>
      </c>
      <c r="B35" s="7" t="s">
        <v>143</v>
      </c>
      <c r="C35" s="12">
        <f t="shared" si="0"/>
        <v>11</v>
      </c>
      <c r="D35" s="21" t="str">
        <f>CONCATENATE("TORS_Documents\",Table14535434[[#This Row],[Instrument No.
San Jacinto]],".pdf")</f>
        <v>TORS_Documents\20201299.pdf</v>
      </c>
      <c r="E35" s="13"/>
      <c r="F35" s="13"/>
      <c r="G35" s="8" t="s">
        <v>172</v>
      </c>
      <c r="H35" s="14">
        <v>43887</v>
      </c>
      <c r="I35" s="14">
        <v>43886</v>
      </c>
      <c r="J35" s="22" t="s">
        <v>173</v>
      </c>
      <c r="K35" s="7" t="s">
        <v>174</v>
      </c>
      <c r="L35" s="7" t="s">
        <v>533</v>
      </c>
      <c r="M35" s="60" t="s">
        <v>504</v>
      </c>
      <c r="N35" s="61"/>
    </row>
    <row r="36" spans="1:14" ht="42.75" x14ac:dyDescent="0.45">
      <c r="A36" s="5">
        <f>HYPERLINK(Table14535434[[#This Row],[Image Path]],Table14535434[[#This Row],[Order by Date]])</f>
        <v>12</v>
      </c>
      <c r="B36" s="7" t="s">
        <v>539</v>
      </c>
      <c r="C36" s="12">
        <f t="shared" si="0"/>
        <v>12</v>
      </c>
      <c r="D36" s="21" t="s">
        <v>540</v>
      </c>
      <c r="E36" s="13"/>
      <c r="F36" s="13"/>
      <c r="G36" s="8" t="s">
        <v>541</v>
      </c>
      <c r="H36" s="14">
        <v>43887</v>
      </c>
      <c r="I36" s="14">
        <v>43886</v>
      </c>
      <c r="J36" s="22" t="s">
        <v>174</v>
      </c>
      <c r="K36" s="7" t="s">
        <v>542</v>
      </c>
      <c r="L36" s="7" t="s">
        <v>543</v>
      </c>
      <c r="M36" s="7" t="s">
        <v>544</v>
      </c>
      <c r="N36" s="61"/>
    </row>
    <row r="37" spans="1:14" ht="28.5" x14ac:dyDescent="0.45">
      <c r="A37" s="5">
        <f>HYPERLINK(Table14535434[[#This Row],[Image Path]],Table14535434[[#This Row],[Order by Date]])</f>
        <v>13</v>
      </c>
      <c r="B37" s="7" t="s">
        <v>145</v>
      </c>
      <c r="C37" s="12">
        <f t="shared" si="0"/>
        <v>13</v>
      </c>
      <c r="D37" s="21" t="str">
        <f>CONCATENATE("TORS_Documents\",Table14535434[[#This Row],[Instrument No.
San Jacinto]],".pdf")</f>
        <v>TORS_Documents\20207109.pdf</v>
      </c>
      <c r="E37" s="13"/>
      <c r="F37" s="13"/>
      <c r="G37" s="8" t="s">
        <v>176</v>
      </c>
      <c r="H37" s="14">
        <v>44138</v>
      </c>
      <c r="I37" s="14">
        <v>44137</v>
      </c>
      <c r="J37" s="22" t="s">
        <v>174</v>
      </c>
      <c r="K37" s="7" t="s">
        <v>177</v>
      </c>
      <c r="L37" s="7" t="s">
        <v>532</v>
      </c>
      <c r="M37" s="60" t="s">
        <v>521</v>
      </c>
      <c r="N37" s="61"/>
    </row>
    <row r="38" spans="1:14" ht="42.75" x14ac:dyDescent="0.45">
      <c r="A38" s="5">
        <f>HYPERLINK(Table14535434[[#This Row],[Image Path]],Table14535434[[#This Row],[Order by Date]])</f>
        <v>14</v>
      </c>
      <c r="B38" s="7" t="s">
        <v>545</v>
      </c>
      <c r="C38" s="12">
        <f t="shared" si="0"/>
        <v>14</v>
      </c>
      <c r="D38" s="21" t="s">
        <v>546</v>
      </c>
      <c r="E38" s="13"/>
      <c r="F38" s="13"/>
      <c r="G38" s="8" t="s">
        <v>547</v>
      </c>
      <c r="H38" s="14">
        <v>44175</v>
      </c>
      <c r="I38" s="14">
        <v>44151</v>
      </c>
      <c r="J38" s="7" t="s">
        <v>548</v>
      </c>
      <c r="K38" s="22" t="s">
        <v>174</v>
      </c>
      <c r="L38" s="7" t="s">
        <v>543</v>
      </c>
      <c r="M38" s="7" t="s">
        <v>549</v>
      </c>
      <c r="N38" s="61"/>
    </row>
    <row r="39" spans="1:14" ht="28.5" x14ac:dyDescent="0.45">
      <c r="A39" s="5" t="s">
        <v>440</v>
      </c>
      <c r="B39" s="7" t="s">
        <v>145</v>
      </c>
      <c r="C39" s="12">
        <f t="shared" si="0"/>
        <v>15</v>
      </c>
      <c r="D39" s="21" t="str">
        <f>CONCATENATE("TORS_Documents\",Table14535434[[#This Row],[Instrument No.
San Jacinto]],".pdf")</f>
        <v>TORS_Documents\20210747.pdf</v>
      </c>
      <c r="E39" s="13"/>
      <c r="F39" s="13"/>
      <c r="G39" s="8" t="s">
        <v>178</v>
      </c>
      <c r="H39" s="14">
        <v>44230</v>
      </c>
      <c r="I39" s="14">
        <v>44231</v>
      </c>
      <c r="J39" s="22" t="s">
        <v>173</v>
      </c>
      <c r="K39" s="7" t="s">
        <v>179</v>
      </c>
      <c r="L39" s="7" t="s">
        <v>534</v>
      </c>
      <c r="M39" s="60" t="s">
        <v>521</v>
      </c>
      <c r="N39" s="61"/>
    </row>
    <row r="40" spans="1:14" s="17" customFormat="1" ht="28.5" x14ac:dyDescent="0.45">
      <c r="A40" s="5">
        <f>HYPERLINK(Table14535434[[#This Row],[Image Path]],Table14535434[[#This Row],[Order by Date]])</f>
        <v>16</v>
      </c>
      <c r="B40" s="7" t="s">
        <v>143</v>
      </c>
      <c r="C40" s="12">
        <f t="shared" si="0"/>
        <v>16</v>
      </c>
      <c r="D40" s="21" t="str">
        <f>CONCATENATE("TORS_Documents\",Table14535434[[#This Row],[Instrument No.
San Jacinto]],".pdf")</f>
        <v>TORS_Documents\20216713.pdf</v>
      </c>
      <c r="E40" s="13"/>
      <c r="F40" s="13"/>
      <c r="G40" s="8" t="s">
        <v>180</v>
      </c>
      <c r="H40" s="14">
        <v>44455</v>
      </c>
      <c r="I40" s="14">
        <v>44454</v>
      </c>
      <c r="J40" s="22" t="s">
        <v>181</v>
      </c>
      <c r="K40" s="7" t="s">
        <v>182</v>
      </c>
      <c r="L40" s="7" t="s">
        <v>535</v>
      </c>
      <c r="M40" s="60" t="s">
        <v>504</v>
      </c>
      <c r="N40" s="61"/>
    </row>
    <row r="41" spans="1:14" s="17" customFormat="1" ht="28.5" x14ac:dyDescent="0.45">
      <c r="A41" s="5">
        <f>HYPERLINK(Table14535434[[#This Row],[Image Path]],Table14535434[[#This Row],[Order by Date]])</f>
        <v>17</v>
      </c>
      <c r="B41" s="7" t="s">
        <v>539</v>
      </c>
      <c r="C41" s="12">
        <f t="shared" si="0"/>
        <v>17</v>
      </c>
      <c r="D41" s="21" t="s">
        <v>550</v>
      </c>
      <c r="E41" s="13"/>
      <c r="F41" s="13"/>
      <c r="G41" s="8" t="s">
        <v>551</v>
      </c>
      <c r="H41" s="14">
        <v>44455</v>
      </c>
      <c r="I41" s="14">
        <v>44454</v>
      </c>
      <c r="J41" s="7" t="s">
        <v>182</v>
      </c>
      <c r="K41" s="7" t="s">
        <v>552</v>
      </c>
      <c r="L41" s="7" t="s">
        <v>553</v>
      </c>
      <c r="M41" s="7" t="s">
        <v>554</v>
      </c>
      <c r="N41" s="61"/>
    </row>
    <row r="42" spans="1:14" ht="28.5" x14ac:dyDescent="0.45">
      <c r="A42" s="5">
        <f>HYPERLINK(Table14535434[[#This Row],[Image Path]],Table14535434[[#This Row],[Order by Date]])</f>
        <v>18</v>
      </c>
      <c r="B42" s="7" t="s">
        <v>539</v>
      </c>
      <c r="C42" s="12">
        <f t="shared" si="0"/>
        <v>18</v>
      </c>
      <c r="D42" s="21" t="s">
        <v>555</v>
      </c>
      <c r="E42" s="13"/>
      <c r="F42" s="13"/>
      <c r="G42" s="8" t="s">
        <v>556</v>
      </c>
      <c r="H42" s="14">
        <v>44571</v>
      </c>
      <c r="I42" s="14">
        <v>44522</v>
      </c>
      <c r="J42" s="22" t="s">
        <v>185</v>
      </c>
      <c r="K42" s="7" t="s">
        <v>557</v>
      </c>
      <c r="L42" s="7" t="s">
        <v>553</v>
      </c>
      <c r="M42" s="7" t="s">
        <v>558</v>
      </c>
      <c r="N42" s="61"/>
    </row>
    <row r="43" spans="1:14" ht="28.5" x14ac:dyDescent="0.45">
      <c r="A43" s="5">
        <f>HYPERLINK(Table14535434[[#This Row],[Image Path]],Table14535434[[#This Row],[Order by Date]])</f>
        <v>19</v>
      </c>
      <c r="B43" s="7" t="s">
        <v>559</v>
      </c>
      <c r="C43" s="12">
        <f t="shared" si="0"/>
        <v>19</v>
      </c>
      <c r="D43" s="21" t="s">
        <v>560</v>
      </c>
      <c r="E43" s="13"/>
      <c r="F43" s="13"/>
      <c r="G43" s="8" t="s">
        <v>561</v>
      </c>
      <c r="H43" s="14">
        <v>44571</v>
      </c>
      <c r="I43" s="14">
        <v>44522</v>
      </c>
      <c r="J43" s="22" t="s">
        <v>185</v>
      </c>
      <c r="K43" s="7" t="s">
        <v>557</v>
      </c>
      <c r="L43" s="7" t="s">
        <v>553</v>
      </c>
      <c r="M43" s="7" t="s">
        <v>562</v>
      </c>
      <c r="N43" s="61"/>
    </row>
    <row r="44" spans="1:14" ht="28.5" x14ac:dyDescent="0.45">
      <c r="A44" s="5">
        <f>HYPERLINK(Table14535434[[#This Row],[Image Path]],Table14535434[[#This Row],[Order by Date]])</f>
        <v>20</v>
      </c>
      <c r="B44" s="7" t="s">
        <v>143</v>
      </c>
      <c r="C44" s="12">
        <f t="shared" si="0"/>
        <v>20</v>
      </c>
      <c r="D44" s="21" t="str">
        <f>CONCATENATE("TORS_Documents\",Table14535434[[#This Row],[Instrument No.
San Jacinto]],".pdf")</f>
        <v>TORS_Documents\20220813.pdf</v>
      </c>
      <c r="E44" s="13"/>
      <c r="F44" s="13"/>
      <c r="G44" s="8" t="s">
        <v>183</v>
      </c>
      <c r="H44" s="14">
        <v>44596</v>
      </c>
      <c r="I44" s="14">
        <v>44522</v>
      </c>
      <c r="J44" s="22" t="s">
        <v>184</v>
      </c>
      <c r="K44" s="7" t="s">
        <v>185</v>
      </c>
      <c r="L44" s="7" t="s">
        <v>536</v>
      </c>
      <c r="M44" s="60" t="s">
        <v>504</v>
      </c>
      <c r="N44" s="61"/>
    </row>
    <row r="45" spans="1:14" ht="42.75" x14ac:dyDescent="0.45">
      <c r="A45" s="5">
        <f>HYPERLINK(Table14535434[[#This Row],[Image Path]],Table14535434[[#This Row],[Order by Date]])</f>
        <v>21</v>
      </c>
      <c r="B45" s="7" t="s">
        <v>277</v>
      </c>
      <c r="C45" s="12">
        <f t="shared" si="0"/>
        <v>21</v>
      </c>
      <c r="D45" s="21" t="str">
        <f>CONCATENATE("TORS_Documents\",Table14535434[[#This Row],[Instrument No.
San Jacinto]],".pdf")</f>
        <v>TORS_Documents\20236699.pdf</v>
      </c>
      <c r="E45" s="13"/>
      <c r="F45" s="13"/>
      <c r="G45" s="8" t="s">
        <v>232</v>
      </c>
      <c r="H45" s="14">
        <v>45010</v>
      </c>
      <c r="I45" s="14">
        <v>45185</v>
      </c>
      <c r="J45" s="22" t="s">
        <v>233</v>
      </c>
      <c r="K45" s="7" t="s">
        <v>231</v>
      </c>
      <c r="L45" s="7" t="s">
        <v>507</v>
      </c>
      <c r="M45" s="7" t="s">
        <v>506</v>
      </c>
      <c r="N45" s="34"/>
    </row>
    <row r="46" spans="1:14" ht="42.75" x14ac:dyDescent="0.45">
      <c r="A46" s="5">
        <f>HYPERLINK(Table14535434[[#This Row],[Image Path]],Table14535434[[#This Row],[Order by Date]])</f>
        <v>22</v>
      </c>
      <c r="B46" s="7" t="s">
        <v>277</v>
      </c>
      <c r="C46" s="12">
        <f t="shared" si="0"/>
        <v>22</v>
      </c>
      <c r="D46" s="21" t="str">
        <f>CONCATENATE("TORS_Documents\",Table14535434[[#This Row],[Instrument No.
San Jacinto]],".pdf")</f>
        <v>TORS_Documents\20235164.pdf</v>
      </c>
      <c r="E46" s="13"/>
      <c r="F46" s="13"/>
      <c r="G46" s="180" t="s">
        <v>229</v>
      </c>
      <c r="H46" s="177">
        <v>45182</v>
      </c>
      <c r="I46" s="177">
        <v>45170</v>
      </c>
      <c r="J46" s="22" t="s">
        <v>230</v>
      </c>
      <c r="K46" s="7" t="s">
        <v>231</v>
      </c>
      <c r="L46" s="7" t="s">
        <v>507</v>
      </c>
      <c r="M46" s="7" t="s">
        <v>506</v>
      </c>
      <c r="N46" s="34"/>
    </row>
    <row r="47" spans="1:14" ht="42.75" x14ac:dyDescent="0.45">
      <c r="A47" s="5">
        <f>HYPERLINK(Table14535434[[#This Row],[Image Path]],Table14535434[[#This Row],[Order by Date]])</f>
        <v>23</v>
      </c>
      <c r="B47" s="27" t="s">
        <v>563</v>
      </c>
      <c r="C47" s="12">
        <f t="shared" si="0"/>
        <v>23</v>
      </c>
      <c r="D47" s="16" t="s">
        <v>564</v>
      </c>
      <c r="E47" s="28"/>
      <c r="F47" s="28"/>
      <c r="G47" s="180" t="s">
        <v>565</v>
      </c>
      <c r="H47" s="177">
        <v>45287</v>
      </c>
      <c r="I47" s="177">
        <v>45273</v>
      </c>
      <c r="J47" s="27" t="s">
        <v>566</v>
      </c>
      <c r="K47" s="27" t="s">
        <v>567</v>
      </c>
      <c r="L47" s="27" t="s">
        <v>553</v>
      </c>
      <c r="M47" s="27" t="s">
        <v>568</v>
      </c>
      <c r="N47" s="61"/>
    </row>
    <row r="48" spans="1:14" ht="28.5" x14ac:dyDescent="0.45">
      <c r="A48" s="5">
        <f>HYPERLINK(Table14535434[[#This Row],[Image Path]],Table14535434[[#This Row],[Order by Date]])</f>
        <v>24</v>
      </c>
      <c r="B48" s="27" t="s">
        <v>219</v>
      </c>
      <c r="C48" s="12">
        <f t="shared" si="0"/>
        <v>24</v>
      </c>
      <c r="D48" s="16" t="str">
        <f>CONCATENATE("TORS_Documents\",Table14535434[[#This Row],[Instrument No.
San Jacinto]],".pdf")</f>
        <v>TORS_Documents\20242292.pdf</v>
      </c>
      <c r="E48" s="28"/>
      <c r="F48" s="28"/>
      <c r="G48" s="180" t="s">
        <v>220</v>
      </c>
      <c r="H48" s="177">
        <v>45405</v>
      </c>
      <c r="I48" s="177">
        <v>45393</v>
      </c>
      <c r="J48" s="47" t="s">
        <v>221</v>
      </c>
      <c r="K48" s="27" t="s">
        <v>34</v>
      </c>
      <c r="L48" s="27"/>
      <c r="M48" s="27" t="s">
        <v>218</v>
      </c>
      <c r="N48" s="61"/>
    </row>
    <row r="49" spans="1:14" ht="28.5" x14ac:dyDescent="0.45">
      <c r="A49" s="5">
        <f>HYPERLINK(Table14535434[[#This Row],[Image Path]],Table14535434[[#This Row],[Order by Date]])</f>
        <v>25</v>
      </c>
      <c r="B49" s="27" t="s">
        <v>484</v>
      </c>
      <c r="C49" s="12">
        <f t="shared" si="0"/>
        <v>25</v>
      </c>
      <c r="D49" s="16" t="str">
        <f>CONCATENATE("TORS_Documents\",Table14535434[[#This Row],[Instrument No.
San Jacinto]],".pdf")</f>
        <v>TORS_Documents\24CPR0065_Probate.pdf</v>
      </c>
      <c r="E49" s="28"/>
      <c r="F49" s="28"/>
      <c r="G49" s="180" t="s">
        <v>483</v>
      </c>
      <c r="H49" s="177">
        <v>45490</v>
      </c>
      <c r="I49" s="177">
        <v>45481</v>
      </c>
      <c r="J49" s="47" t="s">
        <v>485</v>
      </c>
      <c r="K49" s="27" t="s">
        <v>508</v>
      </c>
      <c r="L49" s="27" t="s">
        <v>486</v>
      </c>
      <c r="M49" s="27" t="s">
        <v>509</v>
      </c>
      <c r="N49" s="61"/>
    </row>
    <row r="50" spans="1:14" ht="28.5" x14ac:dyDescent="0.45">
      <c r="A50" s="5">
        <f>HYPERLINK(Table14535434[[#This Row],[Image Path]],Table14535434[[#This Row],[Order by Date]])</f>
        <v>26</v>
      </c>
      <c r="B50" s="27" t="s">
        <v>175</v>
      </c>
      <c r="C50" s="12">
        <f t="shared" si="0"/>
        <v>26</v>
      </c>
      <c r="D50" s="16" t="str">
        <f>CONCATENATE("TORS_Documents\",Table14535434[[#This Row],[Instrument No.
San Jacinto]],".pdf")</f>
        <v>TORS_Documents\P2025-4.pdf</v>
      </c>
      <c r="E50" s="28"/>
      <c r="F50" s="28"/>
      <c r="G50" s="180" t="s">
        <v>212</v>
      </c>
      <c r="H50" s="177">
        <v>45699</v>
      </c>
      <c r="I50" s="177">
        <v>45699</v>
      </c>
      <c r="J50" s="47" t="s">
        <v>492</v>
      </c>
      <c r="K50" s="27" t="s">
        <v>495</v>
      </c>
      <c r="L50" s="27" t="s">
        <v>493</v>
      </c>
      <c r="M50" s="27" t="s">
        <v>494</v>
      </c>
      <c r="N50" s="61"/>
    </row>
    <row r="51" spans="1:14" ht="28.5" x14ac:dyDescent="0.45">
      <c r="A51" s="5">
        <f>HYPERLINK(Table14535434[[#This Row],[Image Path]],Table14535434[[#This Row],[Order by Date]])</f>
        <v>27</v>
      </c>
      <c r="B51" s="27" t="s">
        <v>145</v>
      </c>
      <c r="C51" s="12">
        <f t="shared" si="0"/>
        <v>27</v>
      </c>
      <c r="D51" s="16" t="str">
        <f>CONCATENATE("TORS_Documents\",Table14535434[[#This Row],[Instrument No.
San Jacinto]],".pdf")</f>
        <v>TORS_Documents\20254367.pdf</v>
      </c>
      <c r="E51" s="28"/>
      <c r="F51" s="28"/>
      <c r="G51" s="180" t="s">
        <v>186</v>
      </c>
      <c r="H51" s="177">
        <v>45872</v>
      </c>
      <c r="I51" s="177">
        <v>45870</v>
      </c>
      <c r="J51" s="47" t="s">
        <v>182</v>
      </c>
      <c r="K51" s="27" t="s">
        <v>187</v>
      </c>
      <c r="L51" s="27" t="s">
        <v>537</v>
      </c>
      <c r="M51" s="65" t="s">
        <v>521</v>
      </c>
      <c r="N51" s="61"/>
    </row>
    <row r="52" spans="1:14" ht="42.75" x14ac:dyDescent="0.45">
      <c r="A52" s="5">
        <f>HYPERLINK(Table14535434[[#This Row],[Image Path]],Table14535434[[#This Row],[Order by Date]])</f>
        <v>28</v>
      </c>
      <c r="B52" s="7" t="s">
        <v>545</v>
      </c>
      <c r="C52" s="12">
        <f t="shared" si="0"/>
        <v>28</v>
      </c>
      <c r="D52" s="16" t="s">
        <v>569</v>
      </c>
      <c r="E52" s="13"/>
      <c r="F52" s="13"/>
      <c r="G52" s="8" t="s">
        <v>570</v>
      </c>
      <c r="H52" s="14">
        <v>45922</v>
      </c>
      <c r="I52" s="14">
        <v>45916</v>
      </c>
      <c r="J52" s="7" t="s">
        <v>571</v>
      </c>
      <c r="K52" s="7" t="s">
        <v>182</v>
      </c>
      <c r="L52" s="7" t="s">
        <v>553</v>
      </c>
      <c r="M52" s="7" t="s">
        <v>572</v>
      </c>
      <c r="N52" s="61"/>
    </row>
  </sheetData>
  <phoneticPr fontId="3" type="noConversion"/>
  <pageMargins left="0.5" right="0.5" top="1" bottom="0.75" header="0.3" footer="0.3"/>
  <pageSetup paperSize="5" scale="54" fitToHeight="0" orientation="landscape" horizontalDpi="1200" verticalDpi="1200" r:id="rId1"/>
  <headerFooter>
    <oddHeader>&amp;LUnit Tract 3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76EF-8A94-4495-8766-58ADCE5D03C1}">
  <sheetPr>
    <pageSetUpPr fitToPage="1"/>
  </sheetPr>
  <dimension ref="A1:N6"/>
  <sheetViews>
    <sheetView zoomScale="90" zoomScaleNormal="90" workbookViewId="0">
      <selection activeCell="M10" sqref="M10"/>
    </sheetView>
  </sheetViews>
  <sheetFormatPr defaultColWidth="8.796875" defaultRowHeight="14.25" x14ac:dyDescent="0.45"/>
  <cols>
    <col min="1" max="1" width="15.33203125" style="4" customWidth="1"/>
    <col min="2" max="2" width="14" style="17" customWidth="1"/>
    <col min="3" max="3" width="8.46484375" style="18" hidden="1" customWidth="1"/>
    <col min="4" max="4" width="42.59765625" style="17" hidden="1" customWidth="1"/>
    <col min="5" max="5" width="6.796875" style="18" hidden="1" customWidth="1"/>
    <col min="6" max="6" width="7" style="18" hidden="1" customWidth="1"/>
    <col min="7" max="7" width="12.33203125" style="18" customWidth="1"/>
    <col min="8" max="8" width="15.33203125" style="19" customWidth="1"/>
    <col min="9" max="9" width="14.796875" style="20" customWidth="1"/>
    <col min="10" max="10" width="33.59765625" style="18" customWidth="1"/>
    <col min="11" max="11" width="33.59765625" style="17" customWidth="1"/>
    <col min="12" max="12" width="52.796875" style="17" customWidth="1"/>
    <col min="13" max="13" width="55.33203125" style="17" customWidth="1"/>
    <col min="14" max="14" width="14.73046875" style="135" customWidth="1"/>
    <col min="15" max="16384" width="8.796875" style="17"/>
  </cols>
  <sheetData>
    <row r="1" spans="1:14" ht="57.4" customHeight="1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 t="str">
        <f>HYPERLINK(Table145354345[[#This Row],[Image Path]],Table145354345[[#This Row],[Order by Date]])</f>
        <v>1</v>
      </c>
      <c r="B2" s="71" t="s">
        <v>29</v>
      </c>
      <c r="C2" s="74" t="s">
        <v>67</v>
      </c>
      <c r="D2" s="94" t="str">
        <f>CONCATENATE("TORS_Documents\",Table145354345[[#This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71" t="s">
        <v>31</v>
      </c>
      <c r="K2" s="71" t="s">
        <v>32</v>
      </c>
      <c r="L2" s="71" t="s">
        <v>354</v>
      </c>
      <c r="M2" s="71" t="s">
        <v>454</v>
      </c>
      <c r="N2" s="133"/>
    </row>
    <row r="3" spans="1:14" x14ac:dyDescent="0.45">
      <c r="A3" s="5"/>
      <c r="B3" s="24"/>
      <c r="C3" s="12"/>
      <c r="D3" s="21"/>
      <c r="E3" s="30"/>
      <c r="F3" s="30"/>
      <c r="G3" s="30"/>
      <c r="H3" s="31"/>
      <c r="I3" s="11"/>
      <c r="J3" s="7" t="s">
        <v>22</v>
      </c>
      <c r="K3" s="7" t="s">
        <v>362</v>
      </c>
      <c r="L3" s="7"/>
      <c r="M3" s="7" t="s">
        <v>672</v>
      </c>
      <c r="N3" s="34">
        <v>0.5</v>
      </c>
    </row>
    <row r="4" spans="1:14" x14ac:dyDescent="0.45">
      <c r="A4" s="5"/>
      <c r="B4" s="24"/>
      <c r="C4" s="12"/>
      <c r="D4" s="21"/>
      <c r="E4" s="30"/>
      <c r="F4" s="30"/>
      <c r="G4" s="30"/>
      <c r="H4" s="31"/>
      <c r="I4" s="11"/>
      <c r="J4" s="134" t="s">
        <v>254</v>
      </c>
      <c r="K4" s="7" t="s">
        <v>361</v>
      </c>
      <c r="L4" s="7"/>
      <c r="M4" s="7" t="s">
        <v>673</v>
      </c>
      <c r="N4" s="34">
        <v>0.5</v>
      </c>
    </row>
    <row r="5" spans="1:14" ht="14.65" thickBot="1" x14ac:dyDescent="0.5">
      <c r="A5" s="161"/>
      <c r="B5" s="162"/>
      <c r="C5" s="163"/>
      <c r="D5" s="164"/>
      <c r="E5" s="165"/>
      <c r="F5" s="165"/>
      <c r="G5" s="163"/>
      <c r="H5" s="166"/>
      <c r="I5" s="166"/>
      <c r="J5" s="162"/>
      <c r="K5" s="162"/>
      <c r="L5" s="162"/>
      <c r="M5" s="161" t="s">
        <v>675</v>
      </c>
      <c r="N5" s="167">
        <f>SUBTOTAL(109,N2:N4)</f>
        <v>1</v>
      </c>
    </row>
    <row r="6" spans="1:14" x14ac:dyDescent="0.45">
      <c r="A6" s="155"/>
      <c r="B6" s="156"/>
      <c r="C6" s="157"/>
      <c r="D6" s="156"/>
      <c r="E6" s="157"/>
      <c r="F6" s="157"/>
      <c r="G6" s="157"/>
      <c r="H6" s="158"/>
      <c r="I6" s="159"/>
      <c r="J6" s="157"/>
      <c r="K6" s="156"/>
      <c r="L6" s="156"/>
      <c r="M6" s="156"/>
      <c r="N6" s="160"/>
    </row>
  </sheetData>
  <phoneticPr fontId="3" type="noConversion"/>
  <pageMargins left="0.5" right="0.5" top="1" bottom="0.75" header="0.3" footer="0.3"/>
  <pageSetup paperSize="5" scale="64" fitToHeight="0" orientation="landscape" horizontalDpi="1200" verticalDpi="1200" r:id="rId1"/>
  <headerFooter>
    <oddHeader>&amp;LUnit Tract 4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7DA2-80E1-4E39-B8CA-79B2E157785C}">
  <sheetPr>
    <pageSetUpPr fitToPage="1"/>
  </sheetPr>
  <dimension ref="A1:O50"/>
  <sheetViews>
    <sheetView zoomScale="90" zoomScaleNormal="90" workbookViewId="0">
      <selection activeCell="L4" sqref="L4"/>
    </sheetView>
  </sheetViews>
  <sheetFormatPr defaultColWidth="8.796875" defaultRowHeight="14.25" x14ac:dyDescent="0.45"/>
  <cols>
    <col min="1" max="1" width="16" style="4" customWidth="1"/>
    <col min="2" max="2" width="14" style="17" customWidth="1"/>
    <col min="3" max="3" width="15" style="18" hidden="1" customWidth="1"/>
    <col min="4" max="4" width="56.33203125" style="17" hidden="1" customWidth="1"/>
    <col min="5" max="5" width="19.59765625" style="18" hidden="1" customWidth="1"/>
    <col min="6" max="6" width="17.33203125" style="18" hidden="1" customWidth="1"/>
    <col min="7" max="7" width="15" style="18" customWidth="1"/>
    <col min="8" max="8" width="14.06640625" style="170" customWidth="1"/>
    <col min="9" max="9" width="15.59765625" style="169" customWidth="1"/>
    <col min="10" max="10" width="40.06640625" style="18" customWidth="1"/>
    <col min="11" max="11" width="40.06640625" style="17" customWidth="1"/>
    <col min="12" max="12" width="52.796875" style="17" customWidth="1"/>
    <col min="13" max="13" width="55.53125" style="17" customWidth="1"/>
    <col min="14" max="14" width="19" style="17" customWidth="1"/>
    <col min="15" max="16384" width="8.796875" style="17"/>
  </cols>
  <sheetData>
    <row r="1" spans="1:14" ht="57.4" customHeight="1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 t="str">
        <f>HYPERLINK(Table1453543456[[#This Row],[Image Path]],Table1453543456[[#This Row],[Order by Date]])</f>
        <v>1</v>
      </c>
      <c r="B2" s="71" t="s">
        <v>29</v>
      </c>
      <c r="C2" s="74" t="s">
        <v>67</v>
      </c>
      <c r="D2" s="150" t="str">
        <f>CONCATENATE("TORS_Documents\",Table1453543456[[#This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71" t="s">
        <v>31</v>
      </c>
      <c r="K2" s="71" t="s">
        <v>32</v>
      </c>
      <c r="L2" s="71" t="s">
        <v>352</v>
      </c>
      <c r="M2" s="71" t="s">
        <v>454</v>
      </c>
      <c r="N2" s="29"/>
    </row>
    <row r="3" spans="1:14" x14ac:dyDescent="0.45">
      <c r="A3" s="5"/>
      <c r="C3" s="12"/>
      <c r="D3" s="150" t="str">
        <f>CONCATENATE("TORS_Documents\",Table1453543456[[#This Row],[Instrument No.
San Jacinto]],".pdf")</f>
        <v>TORS_Documents\.pdf</v>
      </c>
      <c r="G3" s="136"/>
      <c r="H3" s="130"/>
      <c r="I3" s="14"/>
      <c r="J3" s="137" t="s">
        <v>22</v>
      </c>
      <c r="K3" s="7" t="s">
        <v>363</v>
      </c>
      <c r="L3" s="7"/>
      <c r="M3" s="17" t="s">
        <v>331</v>
      </c>
      <c r="N3" s="142">
        <v>0.20238095</v>
      </c>
    </row>
    <row r="4" spans="1:14" x14ac:dyDescent="0.45">
      <c r="A4" s="5"/>
      <c r="C4" s="12"/>
      <c r="D4" s="150" t="str">
        <f>CONCATENATE("TORS_Documents\",Table1453543456[[#This Row],[Instrument No.
San Jacinto]],".pdf")</f>
        <v>TORS_Documents\.pdf</v>
      </c>
      <c r="G4" s="136"/>
      <c r="H4" s="130"/>
      <c r="I4" s="14"/>
      <c r="J4" s="138" t="s">
        <v>236</v>
      </c>
      <c r="K4" s="7" t="s">
        <v>365</v>
      </c>
      <c r="L4" s="7"/>
      <c r="M4" s="54" t="s">
        <v>671</v>
      </c>
      <c r="N4" s="34">
        <f>37/168</f>
        <v>0.22023809523809523</v>
      </c>
    </row>
    <row r="5" spans="1:14" x14ac:dyDescent="0.45">
      <c r="A5" s="5"/>
      <c r="B5" s="7"/>
      <c r="C5" s="12"/>
      <c r="D5" s="150" t="str">
        <f>CONCATENATE("TORS_Documents\",Table1453543456[[#This Row],[Instrument No.
San Jacinto]],".pdf")</f>
        <v>TORS_Documents\.pdf</v>
      </c>
      <c r="E5" s="13"/>
      <c r="F5" s="13"/>
      <c r="G5" s="136"/>
      <c r="H5" s="130"/>
      <c r="I5" s="14"/>
      <c r="J5" s="22" t="s">
        <v>108</v>
      </c>
      <c r="K5" s="7" t="s">
        <v>365</v>
      </c>
      <c r="L5" s="7"/>
      <c r="M5" s="7" t="s">
        <v>332</v>
      </c>
      <c r="N5" s="142">
        <v>6.7460320000000004E-2</v>
      </c>
    </row>
    <row r="6" spans="1:14" x14ac:dyDescent="0.45">
      <c r="A6" s="5"/>
      <c r="B6" s="7"/>
      <c r="C6" s="12"/>
      <c r="D6" s="150" t="str">
        <f>CONCATENATE("TORS_Documents\",Table1453543456[[#This Row],[Instrument No.
San Jacinto]],".pdf")</f>
        <v>TORS_Documents\.pdf</v>
      </c>
      <c r="E6" s="13"/>
      <c r="F6" s="13"/>
      <c r="G6" s="136"/>
      <c r="H6" s="130"/>
      <c r="I6" s="14"/>
      <c r="J6" s="22" t="s">
        <v>238</v>
      </c>
      <c r="K6" s="7" t="s">
        <v>365</v>
      </c>
      <c r="L6" s="7"/>
      <c r="M6" s="7" t="s">
        <v>333</v>
      </c>
      <c r="N6" s="142">
        <v>3.3730160000000002E-2</v>
      </c>
    </row>
    <row r="7" spans="1:14" x14ac:dyDescent="0.45">
      <c r="A7" s="5"/>
      <c r="B7" s="7"/>
      <c r="C7" s="12"/>
      <c r="D7" s="150" t="str">
        <f>CONCATENATE("TORS_Documents\",Table1453543456[[#This Row],[Instrument No.
San Jacinto]],".pdf")</f>
        <v>TORS_Documents\.pdf</v>
      </c>
      <c r="E7" s="13"/>
      <c r="F7" s="13"/>
      <c r="G7" s="136"/>
      <c r="H7" s="130"/>
      <c r="I7" s="14"/>
      <c r="J7" s="22" t="s">
        <v>111</v>
      </c>
      <c r="K7" s="7" t="s">
        <v>363</v>
      </c>
      <c r="L7" s="7"/>
      <c r="M7" s="7" t="s">
        <v>333</v>
      </c>
      <c r="N7" s="142">
        <v>3.3730160000000002E-2</v>
      </c>
    </row>
    <row r="8" spans="1:14" x14ac:dyDescent="0.45">
      <c r="A8" s="5"/>
      <c r="B8" s="7"/>
      <c r="C8" s="12"/>
      <c r="D8" s="150" t="str">
        <f>CONCATENATE("TORS_Documents\",Table1453543456[[#This Row],[Instrument No.
San Jacinto]],".pdf")</f>
        <v>TORS_Documents\.pdf</v>
      </c>
      <c r="E8" s="13"/>
      <c r="F8" s="13"/>
      <c r="G8" s="136"/>
      <c r="H8" s="130"/>
      <c r="I8" s="14"/>
      <c r="J8" s="22" t="s">
        <v>112</v>
      </c>
      <c r="K8" s="7" t="s">
        <v>363</v>
      </c>
      <c r="L8" s="7"/>
      <c r="M8" s="7" t="s">
        <v>334</v>
      </c>
      <c r="N8" s="142">
        <v>2.248677E-2</v>
      </c>
    </row>
    <row r="9" spans="1:14" x14ac:dyDescent="0.45">
      <c r="A9" s="5"/>
      <c r="B9" s="7"/>
      <c r="C9" s="12"/>
      <c r="D9" s="150" t="str">
        <f>CONCATENATE("TORS_Documents\",Table1453543456[[#This Row],[Instrument No.
San Jacinto]],".pdf")</f>
        <v>TORS_Documents\.pdf</v>
      </c>
      <c r="E9" s="13"/>
      <c r="F9" s="13"/>
      <c r="G9" s="136"/>
      <c r="H9" s="130"/>
      <c r="I9" s="14"/>
      <c r="J9" s="22" t="s">
        <v>239</v>
      </c>
      <c r="K9" s="7" t="s">
        <v>363</v>
      </c>
      <c r="L9" s="7"/>
      <c r="M9" s="7" t="s">
        <v>334</v>
      </c>
      <c r="N9" s="142">
        <v>2.248677E-2</v>
      </c>
    </row>
    <row r="10" spans="1:14" x14ac:dyDescent="0.45">
      <c r="A10" s="5"/>
      <c r="B10" s="7"/>
      <c r="C10" s="12"/>
      <c r="D10" s="150" t="str">
        <f>CONCATENATE("TORS_Documents\",Table1453543456[[#This Row],[Instrument No.
San Jacinto]],".pdf")</f>
        <v>TORS_Documents\.pdf</v>
      </c>
      <c r="E10" s="13"/>
      <c r="F10" s="13"/>
      <c r="G10" s="136"/>
      <c r="H10" s="130"/>
      <c r="I10" s="14"/>
      <c r="J10" s="22" t="s">
        <v>240</v>
      </c>
      <c r="K10" s="7" t="s">
        <v>365</v>
      </c>
      <c r="L10" s="7"/>
      <c r="M10" s="7" t="s">
        <v>335</v>
      </c>
      <c r="N10" s="142">
        <v>1.1243390000000001E-2</v>
      </c>
    </row>
    <row r="11" spans="1:14" x14ac:dyDescent="0.45">
      <c r="A11" s="26"/>
      <c r="B11" s="27"/>
      <c r="C11" s="12"/>
      <c r="D11" s="150" t="str">
        <f>CONCATENATE("TORS_Documents\",Table1453543456[[#This Row],[Instrument No.
San Jacinto]],".pdf")</f>
        <v>TORS_Documents\.pdf</v>
      </c>
      <c r="E11" s="28"/>
      <c r="F11" s="28"/>
      <c r="G11" s="136"/>
      <c r="H11" s="130"/>
      <c r="I11" s="14"/>
      <c r="J11" s="22" t="s">
        <v>241</v>
      </c>
      <c r="K11" s="7" t="s">
        <v>365</v>
      </c>
      <c r="L11" s="7"/>
      <c r="M11" s="7" t="s">
        <v>335</v>
      </c>
      <c r="N11" s="142">
        <v>1.1243390000000001E-2</v>
      </c>
    </row>
    <row r="12" spans="1:14" ht="71.25" x14ac:dyDescent="0.45">
      <c r="A12" s="5"/>
      <c r="B12" s="7"/>
      <c r="C12" s="12"/>
      <c r="D12" s="150" t="str">
        <f>CONCATENATE("TORS_Documents\",Table1453543456[[#This Row],[Instrument No.
San Jacinto]],".pdf")</f>
        <v>TORS_Documents\.pdf</v>
      </c>
      <c r="E12" s="13"/>
      <c r="F12" s="13"/>
      <c r="G12" s="136"/>
      <c r="H12" s="130"/>
      <c r="I12" s="14"/>
      <c r="J12" s="7" t="s">
        <v>248</v>
      </c>
      <c r="K12" s="7" t="s">
        <v>365</v>
      </c>
      <c r="L12" s="7"/>
      <c r="M12" s="7" t="s">
        <v>342</v>
      </c>
      <c r="N12" s="142">
        <v>4.7619050000000003E-2</v>
      </c>
    </row>
    <row r="13" spans="1:14" x14ac:dyDescent="0.45">
      <c r="A13" s="5"/>
      <c r="B13" s="7"/>
      <c r="C13" s="12"/>
      <c r="D13" s="150" t="str">
        <f>CONCATENATE("TORS_Documents\",Table1453543456[[#This Row],[Instrument No.
San Jacinto]],".pdf")</f>
        <v>TORS_Documents\.pdf</v>
      </c>
      <c r="E13" s="13"/>
      <c r="F13" s="13"/>
      <c r="G13" s="136"/>
      <c r="H13" s="130"/>
      <c r="I13" s="14"/>
      <c r="J13" s="7" t="s">
        <v>249</v>
      </c>
      <c r="K13" s="7" t="s">
        <v>365</v>
      </c>
      <c r="L13" s="7"/>
      <c r="M13" s="7" t="s">
        <v>341</v>
      </c>
      <c r="N13" s="142">
        <v>1.190476E-2</v>
      </c>
    </row>
    <row r="14" spans="1:14" x14ac:dyDescent="0.45">
      <c r="A14" s="5"/>
      <c r="B14" s="7"/>
      <c r="C14" s="12"/>
      <c r="D14" s="150" t="str">
        <f>CONCATENATE("TORS_Documents\",Table1453543456[[#This Row],[Instrument No.
San Jacinto]],".pdf")</f>
        <v>TORS_Documents\.pdf</v>
      </c>
      <c r="E14" s="13"/>
      <c r="F14" s="13"/>
      <c r="G14" s="136"/>
      <c r="H14" s="130"/>
      <c r="I14" s="14"/>
      <c r="J14" s="22" t="s">
        <v>242</v>
      </c>
      <c r="K14" s="7" t="s">
        <v>365</v>
      </c>
      <c r="L14" s="7"/>
      <c r="M14" s="9" t="s">
        <v>336</v>
      </c>
      <c r="N14" s="142">
        <v>2.232143E-2</v>
      </c>
    </row>
    <row r="15" spans="1:14" x14ac:dyDescent="0.45">
      <c r="A15" s="5"/>
      <c r="B15" s="7"/>
      <c r="C15" s="12"/>
      <c r="D15" s="150" t="str">
        <f>CONCATENATE("TORS_Documents\",Table1453543456[[#This Row],[Instrument No.
San Jacinto]],".pdf")</f>
        <v>TORS_Documents\.pdf</v>
      </c>
      <c r="E15" s="13"/>
      <c r="F15" s="13"/>
      <c r="G15" s="136"/>
      <c r="H15" s="130"/>
      <c r="I15" s="14"/>
      <c r="J15" s="22" t="s">
        <v>243</v>
      </c>
      <c r="K15" s="7" t="s">
        <v>364</v>
      </c>
      <c r="L15" s="7"/>
      <c r="M15" s="55" t="s">
        <v>336</v>
      </c>
      <c r="N15" s="142">
        <v>2.232143E-2</v>
      </c>
    </row>
    <row r="16" spans="1:14" x14ac:dyDescent="0.45">
      <c r="A16" s="5"/>
      <c r="B16" s="7"/>
      <c r="C16" s="12"/>
      <c r="D16" s="150" t="str">
        <f>CONCATENATE("TORS_Documents\",Table1453543456[[#This Row],[Instrument No.
San Jacinto]],".pdf")</f>
        <v>TORS_Documents\.pdf</v>
      </c>
      <c r="E16" s="13"/>
      <c r="F16" s="13"/>
      <c r="G16" s="136"/>
      <c r="H16" s="130"/>
      <c r="I16" s="14"/>
      <c r="J16" s="22" t="s">
        <v>244</v>
      </c>
      <c r="K16" s="7" t="s">
        <v>364</v>
      </c>
      <c r="L16" s="7"/>
      <c r="M16" s="55" t="s">
        <v>336</v>
      </c>
      <c r="N16" s="142">
        <v>2.232143E-2</v>
      </c>
    </row>
    <row r="17" spans="1:15" x14ac:dyDescent="0.45">
      <c r="A17" s="5"/>
      <c r="B17" s="7"/>
      <c r="C17" s="12"/>
      <c r="D17" s="150" t="str">
        <f>CONCATENATE("TORS_Documents\",Table1453543456[[#This Row],[Instrument No.
San Jacinto]],".pdf")</f>
        <v>TORS_Documents\.pdf</v>
      </c>
      <c r="E17" s="13"/>
      <c r="F17" s="13"/>
      <c r="G17" s="136"/>
      <c r="H17" s="130"/>
      <c r="I17" s="14"/>
      <c r="J17" s="22" t="s">
        <v>245</v>
      </c>
      <c r="K17" s="7" t="s">
        <v>364</v>
      </c>
      <c r="L17" s="7"/>
      <c r="M17" s="55" t="s">
        <v>336</v>
      </c>
      <c r="N17" s="142">
        <v>2.232143E-2</v>
      </c>
    </row>
    <row r="18" spans="1:15" x14ac:dyDescent="0.45">
      <c r="A18" s="5"/>
      <c r="B18" s="7"/>
      <c r="C18" s="12"/>
      <c r="D18" s="150" t="str">
        <f>CONCATENATE("TORS_Documents\",Table1453543456[[#This Row],[Instrument No.
San Jacinto]],".pdf")</f>
        <v>TORS_Documents\.pdf</v>
      </c>
      <c r="E18" s="13"/>
      <c r="F18" s="13"/>
      <c r="G18" s="136"/>
      <c r="H18" s="130"/>
      <c r="I18" s="53"/>
      <c r="J18" s="22" t="s">
        <v>256</v>
      </c>
      <c r="K18" s="7" t="s">
        <v>365</v>
      </c>
      <c r="L18" s="7"/>
      <c r="M18" s="7" t="s">
        <v>337</v>
      </c>
      <c r="N18" s="142">
        <v>5.9523800000000002E-3</v>
      </c>
    </row>
    <row r="19" spans="1:15" x14ac:dyDescent="0.45">
      <c r="A19" s="5"/>
      <c r="B19" s="7"/>
      <c r="C19" s="12"/>
      <c r="D19" s="150" t="str">
        <f>CONCATENATE("TORS_Documents\",Table1453543456[[#This Row],[Instrument No.
San Jacinto]],".pdf")</f>
        <v>TORS_Documents\.pdf</v>
      </c>
      <c r="E19" s="13"/>
      <c r="F19" s="13"/>
      <c r="G19" s="136"/>
      <c r="H19" s="130"/>
      <c r="I19" s="53"/>
      <c r="J19" s="22" t="s">
        <v>257</v>
      </c>
      <c r="K19" s="7" t="s">
        <v>365</v>
      </c>
      <c r="L19" s="7"/>
      <c r="M19" s="7" t="s">
        <v>337</v>
      </c>
      <c r="N19" s="142">
        <v>5.9523800000000002E-3</v>
      </c>
    </row>
    <row r="20" spans="1:15" x14ac:dyDescent="0.45">
      <c r="A20" s="5"/>
      <c r="B20" s="7"/>
      <c r="C20" s="12"/>
      <c r="D20" s="150" t="str">
        <f>CONCATENATE("TORS_Documents\",Table1453543456[[#This Row],[Instrument No.
San Jacinto]],".pdf")</f>
        <v>TORS_Documents\.pdf</v>
      </c>
      <c r="E20" s="13"/>
      <c r="F20" s="13"/>
      <c r="G20" s="136"/>
      <c r="H20" s="130"/>
      <c r="I20" s="53"/>
      <c r="J20" s="22" t="s">
        <v>258</v>
      </c>
      <c r="K20" s="7" t="s">
        <v>365</v>
      </c>
      <c r="L20" s="7"/>
      <c r="M20" s="7" t="s">
        <v>337</v>
      </c>
      <c r="N20" s="142">
        <v>5.9523800000000002E-3</v>
      </c>
    </row>
    <row r="21" spans="1:15" x14ac:dyDescent="0.45">
      <c r="A21" s="5"/>
      <c r="B21" s="7"/>
      <c r="C21" s="12"/>
      <c r="D21" s="150" t="str">
        <f>CONCATENATE("TORS_Documents\",Table1453543456[[#This Row],[Instrument No.
San Jacinto]],".pdf")</f>
        <v>TORS_Documents\.pdf</v>
      </c>
      <c r="E21" s="13"/>
      <c r="F21" s="13"/>
      <c r="G21" s="136"/>
      <c r="H21" s="130"/>
      <c r="I21" s="53"/>
      <c r="J21" s="22" t="s">
        <v>259</v>
      </c>
      <c r="K21" s="7" t="s">
        <v>365</v>
      </c>
      <c r="L21" s="7"/>
      <c r="M21" s="7" t="s">
        <v>337</v>
      </c>
      <c r="N21" s="142">
        <v>5.9523800000000002E-3</v>
      </c>
    </row>
    <row r="22" spans="1:15" x14ac:dyDescent="0.45">
      <c r="A22" s="5"/>
      <c r="B22" s="7"/>
      <c r="C22" s="12"/>
      <c r="D22" s="150" t="str">
        <f>CONCATENATE("TORS_Documents\",Table1453543456[[#This Row],[Instrument No.
San Jacinto]],".pdf")</f>
        <v>TORS_Documents\.pdf</v>
      </c>
      <c r="E22" s="13"/>
      <c r="F22" s="13"/>
      <c r="G22" s="136"/>
      <c r="H22" s="130"/>
      <c r="I22" s="53"/>
      <c r="J22" s="7" t="s">
        <v>264</v>
      </c>
      <c r="K22" s="7" t="s">
        <v>363</v>
      </c>
      <c r="L22" s="7"/>
      <c r="M22" s="7" t="s">
        <v>331</v>
      </c>
      <c r="N22" s="142">
        <v>0.20238095</v>
      </c>
    </row>
    <row r="23" spans="1:15" ht="14.65" thickBot="1" x14ac:dyDescent="0.5">
      <c r="A23" s="141" t="s">
        <v>385</v>
      </c>
      <c r="B23" s="77"/>
      <c r="C23" s="78"/>
      <c r="D23" s="150" t="str">
        <f>CONCATENATE("TORS_Documents\",Table1453543456[[#This Row],[Instrument No.
San Jacinto]],".pdf")</f>
        <v>TORS_Documents\.pdf</v>
      </c>
      <c r="E23" s="80"/>
      <c r="F23" s="80"/>
      <c r="G23" s="81"/>
      <c r="H23" s="168"/>
      <c r="I23" s="168"/>
      <c r="J23" s="77"/>
      <c r="K23" s="77"/>
      <c r="L23" s="77"/>
      <c r="M23" s="77"/>
      <c r="N23" s="140">
        <f>SUBTOTAL(109,N2:N22)</f>
        <v>1.0000000052380948</v>
      </c>
    </row>
    <row r="24" spans="1:15" ht="28.5" x14ac:dyDescent="0.45">
      <c r="A24" s="5">
        <f>HYPERLINK(Table1453543456[[#This Row],[Image Path]],Table1453543456[[#This Row],[Order by Date]])</f>
        <v>1</v>
      </c>
      <c r="B24" s="7" t="s">
        <v>151</v>
      </c>
      <c r="C24" s="12">
        <v>1</v>
      </c>
      <c r="D24" s="150" t="str">
        <f>CONCATENATE("TORS_Documents\",Table1453543456[[#This Row],[Instrument No.
San Jacinto]],".pdf")</f>
        <v>TORS_Documents\09-3821.pdf</v>
      </c>
      <c r="E24" s="13"/>
      <c r="F24" s="13"/>
      <c r="G24" s="8" t="s">
        <v>386</v>
      </c>
      <c r="H24" s="14">
        <v>39981</v>
      </c>
      <c r="I24" s="14">
        <v>38657</v>
      </c>
      <c r="J24" s="7" t="s">
        <v>148</v>
      </c>
      <c r="K24" s="7" t="s">
        <v>149</v>
      </c>
      <c r="L24" s="7" t="s">
        <v>150</v>
      </c>
      <c r="M24" s="7"/>
      <c r="N24" s="33"/>
    </row>
    <row r="25" spans="1:15" ht="28.5" x14ac:dyDescent="0.45">
      <c r="A25" s="5">
        <f>HYPERLINK(Table1453543456[[#This Row],[Image Path]],Table1453543456[[#This Row],[Order by Date]])</f>
        <v>2</v>
      </c>
      <c r="B25" s="7" t="s">
        <v>175</v>
      </c>
      <c r="C25" s="12">
        <f t="shared" ref="C25:C38" si="0">C24+1</f>
        <v>2</v>
      </c>
      <c r="D25" s="150" t="str">
        <f>CONCATENATE("TORS_Documents\",Table1453543456[[#This Row],[Instrument No.
San Jacinto]],".pdf")</f>
        <v>TORS_Documents\11-4768.pdf</v>
      </c>
      <c r="E25" s="13"/>
      <c r="F25" s="13"/>
      <c r="G25" s="8" t="s">
        <v>388</v>
      </c>
      <c r="H25" s="14">
        <v>40801</v>
      </c>
      <c r="I25" s="14">
        <v>40542</v>
      </c>
      <c r="J25" s="7" t="s">
        <v>188</v>
      </c>
      <c r="K25" s="7" t="s">
        <v>189</v>
      </c>
      <c r="L25" s="7" t="s">
        <v>16</v>
      </c>
      <c r="M25" s="7"/>
      <c r="N25" s="33"/>
    </row>
    <row r="26" spans="1:15" ht="42.75" x14ac:dyDescent="0.45">
      <c r="A26" s="5">
        <f>HYPERLINK(Table1453543456[[#This Row],[Image Path]],Table1453543456[[#This Row],[Order by Date]])</f>
        <v>3</v>
      </c>
      <c r="B26" s="7" t="s">
        <v>198</v>
      </c>
      <c r="C26" s="12">
        <f t="shared" si="0"/>
        <v>3</v>
      </c>
      <c r="D26" s="150" t="str">
        <f>CONCATENATE("TORS_Documents\",Table1453543456[[#This Row],[Instrument No.
San Jacinto]],".pdf")</f>
        <v>TORS_Documents\2012006700.pdf</v>
      </c>
      <c r="E26" s="13"/>
      <c r="F26" s="13"/>
      <c r="G26" s="8" t="s">
        <v>426</v>
      </c>
      <c r="H26" s="14">
        <v>41263</v>
      </c>
      <c r="I26" s="14">
        <v>12</v>
      </c>
      <c r="J26" s="7" t="s">
        <v>190</v>
      </c>
      <c r="K26" s="7" t="s">
        <v>191</v>
      </c>
      <c r="L26" s="7" t="s">
        <v>192</v>
      </c>
      <c r="M26" s="7"/>
      <c r="N26" s="33"/>
    </row>
    <row r="27" spans="1:15" ht="42.75" x14ac:dyDescent="0.45">
      <c r="A27" s="5">
        <f>HYPERLINK(Table1453543456[[#This Row],[Image Path]],Table1453543456[[#This Row],[Order by Date]])</f>
        <v>4</v>
      </c>
      <c r="B27" s="7" t="s">
        <v>275</v>
      </c>
      <c r="C27" s="12">
        <f t="shared" si="0"/>
        <v>4</v>
      </c>
      <c r="D27" s="150" t="str">
        <f>CONCATENATE("TORS_Documents\",Table1453543456[[#This Row],[Instrument No.
San Jacinto]],".pdf")</f>
        <v>TORS_Documents\2012006703.pdf</v>
      </c>
      <c r="E27" s="13"/>
      <c r="F27" s="13"/>
      <c r="G27" s="8" t="s">
        <v>427</v>
      </c>
      <c r="H27" s="14">
        <v>41263</v>
      </c>
      <c r="I27" s="14">
        <v>41223</v>
      </c>
      <c r="J27" s="7" t="s">
        <v>193</v>
      </c>
      <c r="K27" s="7" t="s">
        <v>194</v>
      </c>
      <c r="L27" s="7" t="s">
        <v>195</v>
      </c>
      <c r="M27" s="7"/>
      <c r="N27" s="33"/>
    </row>
    <row r="28" spans="1:15" ht="28.5" x14ac:dyDescent="0.45">
      <c r="A28" s="5">
        <f>HYPERLINK(Table1453543456[[#This Row],[Image Path]],Table1453543456[[#This Row],[Order by Date]])</f>
        <v>5</v>
      </c>
      <c r="B28" s="7" t="s">
        <v>200</v>
      </c>
      <c r="C28" s="12">
        <f t="shared" si="0"/>
        <v>5</v>
      </c>
      <c r="D28" s="150" t="str">
        <f>CONCATENATE("TORS_Documents\",Table1453543456[[#This Row],[Instrument No.
San Jacinto]],".pdf")</f>
        <v>TORS_Documents\2012006704.pdf</v>
      </c>
      <c r="E28" s="13"/>
      <c r="F28" s="13"/>
      <c r="G28" s="8" t="s">
        <v>428</v>
      </c>
      <c r="H28" s="14">
        <v>41263</v>
      </c>
      <c r="I28" s="14">
        <v>41244</v>
      </c>
      <c r="J28" s="7" t="s">
        <v>194</v>
      </c>
      <c r="K28" s="7" t="s">
        <v>196</v>
      </c>
      <c r="L28" s="7" t="s">
        <v>197</v>
      </c>
      <c r="M28" s="7"/>
      <c r="N28" s="33"/>
    </row>
    <row r="29" spans="1:15" ht="28.5" x14ac:dyDescent="0.45">
      <c r="A29" s="5">
        <f>HYPERLINK(Table1453543456[[#This Row],[Image Path]],Table1453543456[[#This Row],[Order by Date]])</f>
        <v>6</v>
      </c>
      <c r="B29" s="7" t="s">
        <v>219</v>
      </c>
      <c r="C29" s="12">
        <f t="shared" si="0"/>
        <v>6</v>
      </c>
      <c r="D29" s="150" t="str">
        <f>CONCATENATE("TORS_Documents\",Table1453543456[[#This Row],[Instrument No.
San Jacinto]],".pdf")</f>
        <v>TORS_Documents\20172674.pdf</v>
      </c>
      <c r="E29" s="13"/>
      <c r="F29" s="13"/>
      <c r="G29" s="8" t="s">
        <v>216</v>
      </c>
      <c r="H29" s="14">
        <v>42871</v>
      </c>
      <c r="I29" s="14">
        <v>42853</v>
      </c>
      <c r="J29" s="7" t="s">
        <v>217</v>
      </c>
      <c r="K29" s="7" t="s">
        <v>34</v>
      </c>
      <c r="L29" s="7" t="s">
        <v>218</v>
      </c>
      <c r="M29" s="7"/>
      <c r="N29" s="33"/>
    </row>
    <row r="30" spans="1:15" ht="42.75" x14ac:dyDescent="0.45">
      <c r="A30" s="5">
        <f>HYPERLINK(Table1453543456[[#This Row],[Image Path]],Table1453543456[[#This Row],[Order by Date]])</f>
        <v>7</v>
      </c>
      <c r="B30" s="7" t="s">
        <v>215</v>
      </c>
      <c r="C30" s="12">
        <f t="shared" si="0"/>
        <v>7</v>
      </c>
      <c r="D30" s="150" t="str">
        <f>CONCATENATE("TORS_Documents\",Table1453543456[[#This Row],[Instrument No.
San Jacinto]],".pdf")</f>
        <v>TORS_Documents\20174126.pdf</v>
      </c>
      <c r="E30" s="13"/>
      <c r="F30" s="13"/>
      <c r="G30" s="8" t="s">
        <v>222</v>
      </c>
      <c r="H30" s="14">
        <v>42933</v>
      </c>
      <c r="I30" s="14">
        <v>42886</v>
      </c>
      <c r="J30" s="7" t="s">
        <v>223</v>
      </c>
      <c r="K30" s="7" t="s">
        <v>224</v>
      </c>
      <c r="L30" s="7" t="s">
        <v>16</v>
      </c>
      <c r="M30" s="7"/>
      <c r="N30" s="33"/>
    </row>
    <row r="31" spans="1:15" ht="42.75" x14ac:dyDescent="0.45">
      <c r="A31" s="5">
        <f>HYPERLINK(Table1453543456[[#This Row],[Image Path]],Table1453543456[[#This Row],[Order by Date]])</f>
        <v>8</v>
      </c>
      <c r="B31" s="7" t="s">
        <v>228</v>
      </c>
      <c r="C31" s="12">
        <f t="shared" si="0"/>
        <v>8</v>
      </c>
      <c r="D31" s="150" t="str">
        <f>CONCATENATE("TORS_Documents\",Table1453543456[[#This Row],[Instrument No.
San Jacinto]],".pdf")</f>
        <v>TORS_Documents\20191765.pdf</v>
      </c>
      <c r="E31" s="13"/>
      <c r="F31" s="13"/>
      <c r="G31" s="8" t="s">
        <v>225</v>
      </c>
      <c r="H31" s="14">
        <v>43549</v>
      </c>
      <c r="I31" s="14">
        <v>43545</v>
      </c>
      <c r="J31" s="22" t="s">
        <v>226</v>
      </c>
      <c r="K31" s="7" t="s">
        <v>227</v>
      </c>
      <c r="L31" s="7" t="s">
        <v>276</v>
      </c>
      <c r="M31" s="7"/>
      <c r="N31" s="34"/>
      <c r="O31" s="33"/>
    </row>
    <row r="32" spans="1:15" ht="28.5" x14ac:dyDescent="0.45">
      <c r="A32" s="5">
        <f>HYPERLINK(Table1453543456[[#This Row],[Image Path]],Table1453543456[[#This Row],[Order by Date]])</f>
        <v>9</v>
      </c>
      <c r="B32" s="7" t="s">
        <v>496</v>
      </c>
      <c r="C32" s="12">
        <f t="shared" si="0"/>
        <v>9</v>
      </c>
      <c r="D32" s="150" t="str">
        <f>CONCATENATE("TORS_Documents\",Table1453543456[[#This Row],[Instrument No.
San Jacinto]],".pdf")</f>
        <v>TORS_Documents\2018-CPC-00366.pdf</v>
      </c>
      <c r="E32" s="13"/>
      <c r="F32" s="13"/>
      <c r="G32" s="8" t="s">
        <v>234</v>
      </c>
      <c r="H32" s="14">
        <v>43714</v>
      </c>
      <c r="I32" s="14">
        <v>43564</v>
      </c>
      <c r="J32" s="22" t="s">
        <v>498</v>
      </c>
      <c r="K32" s="7" t="s">
        <v>497</v>
      </c>
      <c r="L32" s="7"/>
      <c r="M32" s="7" t="s">
        <v>499</v>
      </c>
      <c r="N32" s="34"/>
      <c r="O32" s="33"/>
    </row>
    <row r="33" spans="1:15" ht="42.75" x14ac:dyDescent="0.45">
      <c r="A33" s="5">
        <f>HYPERLINK(Table1453543456[[#This Row],[Image Path]],Table1453543456[[#This Row],[Order by Date]])</f>
        <v>10</v>
      </c>
      <c r="B33" s="7" t="s">
        <v>277</v>
      </c>
      <c r="C33" s="12">
        <f t="shared" si="0"/>
        <v>10</v>
      </c>
      <c r="D33" s="150" t="str">
        <f>CONCATENATE("TORS_Documents\",Table1453543456[[#This Row],[Instrument No.
San Jacinto]],".pdf")</f>
        <v>TORS_Documents\20236699.pdf</v>
      </c>
      <c r="E33" s="13"/>
      <c r="F33" s="13"/>
      <c r="G33" s="8" t="s">
        <v>232</v>
      </c>
      <c r="H33" s="14">
        <v>45010</v>
      </c>
      <c r="I33" s="14">
        <v>45185</v>
      </c>
      <c r="J33" s="22" t="s">
        <v>233</v>
      </c>
      <c r="K33" s="7" t="s">
        <v>231</v>
      </c>
      <c r="L33" s="7" t="s">
        <v>507</v>
      </c>
      <c r="M33" s="7" t="s">
        <v>506</v>
      </c>
      <c r="N33" s="35"/>
      <c r="O33" s="33"/>
    </row>
    <row r="34" spans="1:15" ht="42.75" x14ac:dyDescent="0.45">
      <c r="A34" s="5">
        <f>HYPERLINK(Table1453543456[[#This Row],[Image Path]],Table1453543456[[#This Row],[Order by Date]])</f>
        <v>11</v>
      </c>
      <c r="B34" s="7" t="s">
        <v>277</v>
      </c>
      <c r="C34" s="12">
        <f t="shared" si="0"/>
        <v>11</v>
      </c>
      <c r="D34" s="150" t="str">
        <f>CONCATENATE("TORS_Documents\",Table1453543456[[#This Row],[Instrument No.
San Jacinto]],".pdf")</f>
        <v>TORS_Documents\20235164.pdf</v>
      </c>
      <c r="E34" s="13"/>
      <c r="F34" s="13"/>
      <c r="G34" s="8" t="s">
        <v>229</v>
      </c>
      <c r="H34" s="14">
        <v>45182</v>
      </c>
      <c r="I34" s="14">
        <v>45170</v>
      </c>
      <c r="J34" s="22" t="s">
        <v>230</v>
      </c>
      <c r="K34" s="7" t="s">
        <v>231</v>
      </c>
      <c r="L34" s="7" t="s">
        <v>507</v>
      </c>
      <c r="M34" s="7" t="s">
        <v>506</v>
      </c>
      <c r="N34" s="35"/>
      <c r="O34" s="33"/>
    </row>
    <row r="35" spans="1:15" ht="28.5" x14ac:dyDescent="0.45">
      <c r="A35" s="5">
        <f>HYPERLINK(Table1453543456[[#This Row],[Image Path]],Table1453543456[[#This Row],[Order by Date]])</f>
        <v>12</v>
      </c>
      <c r="B35" s="7" t="s">
        <v>219</v>
      </c>
      <c r="C35" s="12">
        <f t="shared" si="0"/>
        <v>12</v>
      </c>
      <c r="D35" s="150" t="str">
        <f>CONCATENATE("TORS_Documents\",Table1453543456[[#This Row],[Instrument No.
San Jacinto]],".pdf")</f>
        <v>TORS_Documents\20242292.pdf</v>
      </c>
      <c r="E35" s="13"/>
      <c r="F35" s="13"/>
      <c r="G35" s="8" t="s">
        <v>220</v>
      </c>
      <c r="H35" s="14">
        <v>45405</v>
      </c>
      <c r="I35" s="14">
        <v>45393</v>
      </c>
      <c r="J35" s="22" t="s">
        <v>221</v>
      </c>
      <c r="K35" s="7" t="s">
        <v>34</v>
      </c>
      <c r="L35" s="7"/>
      <c r="M35" s="7" t="s">
        <v>218</v>
      </c>
      <c r="N35" s="139"/>
    </row>
    <row r="36" spans="1:15" x14ac:dyDescent="0.45">
      <c r="A36" s="5">
        <f>HYPERLINK(Table1453543456[[#This Row],[Image Path]],Table1453543456[[#This Row],[Order by Date]])</f>
        <v>13</v>
      </c>
      <c r="B36" s="7" t="s">
        <v>211</v>
      </c>
      <c r="C36" s="12">
        <f t="shared" si="0"/>
        <v>13</v>
      </c>
      <c r="D36" s="150" t="str">
        <f>CONCATENATE("TORS_Documents\",Table1453543456[[#This Row],[Instrument No.
San Jacinto]],".pdf")</f>
        <v>TORS_Documents\20241988.pdf</v>
      </c>
      <c r="E36" s="13"/>
      <c r="F36" s="13"/>
      <c r="G36" s="8" t="s">
        <v>482</v>
      </c>
      <c r="H36" s="14">
        <v>45425</v>
      </c>
      <c r="I36" s="14">
        <v>45239</v>
      </c>
      <c r="J36" s="22" t="s">
        <v>108</v>
      </c>
      <c r="K36" s="7" t="s">
        <v>210</v>
      </c>
      <c r="L36" s="7"/>
      <c r="M36" s="7"/>
      <c r="N36" s="139"/>
    </row>
    <row r="37" spans="1:15" ht="42.75" x14ac:dyDescent="0.45">
      <c r="A37" s="5">
        <f>HYPERLINK(Table1453543456[[#This Row],[Image Path]],Table1453543456[[#This Row],[Order by Date]])</f>
        <v>14</v>
      </c>
      <c r="B37" s="7" t="s">
        <v>484</v>
      </c>
      <c r="C37" s="12">
        <f t="shared" si="0"/>
        <v>14</v>
      </c>
      <c r="D37" s="150" t="str">
        <f>CONCATENATE("TORS_Documents\",Table1453543456[[#This Row],[Instrument No.
San Jacinto]],".pdf")</f>
        <v>TORS_Documents\24CPR0065_Probate.pdf</v>
      </c>
      <c r="E37" s="13"/>
      <c r="F37" s="13"/>
      <c r="G37" s="8" t="s">
        <v>483</v>
      </c>
      <c r="H37" s="14">
        <v>45490</v>
      </c>
      <c r="I37" s="14">
        <v>45481</v>
      </c>
      <c r="J37" s="22" t="s">
        <v>485</v>
      </c>
      <c r="K37" s="7" t="s">
        <v>508</v>
      </c>
      <c r="L37" s="7" t="s">
        <v>486</v>
      </c>
      <c r="M37" s="7" t="s">
        <v>509</v>
      </c>
      <c r="N37" s="139"/>
    </row>
    <row r="38" spans="1:15" ht="28.5" x14ac:dyDescent="0.45">
      <c r="A38" s="5">
        <f>HYPERLINK(Table1453543456[[#This Row],[Image Path]],Table1453543456[[#This Row],[Order by Date]])</f>
        <v>15</v>
      </c>
      <c r="B38" s="7" t="s">
        <v>175</v>
      </c>
      <c r="C38" s="12">
        <f t="shared" si="0"/>
        <v>15</v>
      </c>
      <c r="D38" s="150" t="str">
        <f>CONCATENATE("TORS_Documents\",Table1453543456[[#This Row],[Instrument No.
San Jacinto]],".pdf")</f>
        <v>TORS_Documents\P2025-4.pdf</v>
      </c>
      <c r="E38" s="13"/>
      <c r="F38" s="13"/>
      <c r="G38" s="8" t="s">
        <v>212</v>
      </c>
      <c r="H38" s="14">
        <v>45699</v>
      </c>
      <c r="I38" s="14">
        <v>45699</v>
      </c>
      <c r="J38" s="22" t="s">
        <v>492</v>
      </c>
      <c r="K38" s="7" t="s">
        <v>495</v>
      </c>
      <c r="L38" s="7" t="s">
        <v>493</v>
      </c>
      <c r="M38" s="7" t="s">
        <v>494</v>
      </c>
      <c r="N38" s="139"/>
    </row>
    <row r="39" spans="1:15" x14ac:dyDescent="0.45">
      <c r="H39" s="52"/>
      <c r="I39" s="53"/>
    </row>
    <row r="40" spans="1:15" x14ac:dyDescent="0.45">
      <c r="H40" s="52"/>
      <c r="I40" s="53"/>
    </row>
    <row r="41" spans="1:15" x14ac:dyDescent="0.45">
      <c r="H41" s="52"/>
      <c r="I41" s="53"/>
    </row>
    <row r="42" spans="1:15" x14ac:dyDescent="0.45">
      <c r="H42" s="52"/>
      <c r="I42" s="53"/>
    </row>
    <row r="43" spans="1:15" x14ac:dyDescent="0.45">
      <c r="H43" s="52"/>
      <c r="I43" s="53"/>
    </row>
    <row r="44" spans="1:15" x14ac:dyDescent="0.45">
      <c r="H44" s="52"/>
      <c r="I44" s="53"/>
    </row>
    <row r="45" spans="1:15" x14ac:dyDescent="0.45">
      <c r="H45" s="52"/>
      <c r="I45" s="53"/>
    </row>
    <row r="46" spans="1:15" x14ac:dyDescent="0.45">
      <c r="H46" s="52"/>
      <c r="I46" s="53"/>
    </row>
    <row r="47" spans="1:15" x14ac:dyDescent="0.45">
      <c r="H47" s="52"/>
      <c r="I47" s="53"/>
    </row>
    <row r="48" spans="1:15" x14ac:dyDescent="0.45">
      <c r="H48" s="52"/>
      <c r="I48" s="53"/>
    </row>
    <row r="49" spans="8:9" x14ac:dyDescent="0.45">
      <c r="H49" s="52"/>
      <c r="I49" s="53"/>
    </row>
    <row r="50" spans="8:9" x14ac:dyDescent="0.45">
      <c r="H50" s="52"/>
      <c r="I50" s="53"/>
    </row>
  </sheetData>
  <phoneticPr fontId="3" type="noConversion"/>
  <pageMargins left="0.5" right="0.5" top="1" bottom="0.75" header="0.3" footer="0.3"/>
  <pageSetup paperSize="5" scale="59" fitToHeight="0" orientation="landscape" horizontalDpi="1200" verticalDpi="1200" r:id="rId1"/>
  <headerFooter>
    <oddHeader>&amp;LUnit Tract 5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1BB2-241F-43B5-88FE-A83FE2ECF6C6}">
  <sheetPr>
    <pageSetUpPr fitToPage="1"/>
  </sheetPr>
  <dimension ref="A1:O35"/>
  <sheetViews>
    <sheetView zoomScale="90" zoomScaleNormal="90" workbookViewId="0">
      <selection activeCell="K14" sqref="K14"/>
    </sheetView>
  </sheetViews>
  <sheetFormatPr defaultColWidth="8.796875" defaultRowHeight="14.25" x14ac:dyDescent="0.45"/>
  <cols>
    <col min="1" max="1" width="15.265625" style="3" customWidth="1"/>
    <col min="2" max="2" width="15.796875" style="24" customWidth="1"/>
    <col min="3" max="3" width="8.46484375" style="30" hidden="1" customWidth="1"/>
    <col min="4" max="4" width="35" style="24" hidden="1" customWidth="1"/>
    <col min="5" max="5" width="6.796875" style="30" hidden="1" customWidth="1"/>
    <col min="6" max="6" width="2.796875" style="30" hidden="1" customWidth="1"/>
    <col min="7" max="7" width="12.33203125" style="30" customWidth="1"/>
    <col min="8" max="8" width="11.06640625" style="31" customWidth="1"/>
    <col min="9" max="9" width="11.06640625" style="11" customWidth="1"/>
    <col min="10" max="10" width="39.53125" style="30" customWidth="1"/>
    <col min="11" max="11" width="39.53125" style="24" customWidth="1"/>
    <col min="12" max="12" width="52.796875" style="24" customWidth="1"/>
    <col min="13" max="13" width="53.59765625" style="24" customWidth="1"/>
    <col min="14" max="14" width="15.59765625" style="144" customWidth="1"/>
    <col min="15" max="16384" width="8.796875" style="24"/>
  </cols>
  <sheetData>
    <row r="1" spans="1:14" ht="54" customHeight="1" thickBot="1" x14ac:dyDescent="0.5">
      <c r="A1" s="146" t="s">
        <v>73</v>
      </c>
      <c r="B1" s="146" t="s">
        <v>0</v>
      </c>
      <c r="C1" s="146" t="s">
        <v>1</v>
      </c>
      <c r="D1" s="146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>
        <f>HYPERLINK(Table14535434567[[#This Row],[Image Path]],Table14535434567[[#This Row],[Order by Date]])</f>
        <v>1</v>
      </c>
      <c r="B2" s="71" t="s">
        <v>29</v>
      </c>
      <c r="C2" s="99">
        <v>1</v>
      </c>
      <c r="D2" s="94" t="str">
        <f>CONCATENATE("TORS_Documents\",Table14535434567[[#This Row],[Instrument No.
San Jacinto]],".pdf")</f>
        <v>TORS_Documents\DOTO_ElmoreC-1_Unit.pdf</v>
      </c>
      <c r="E2" s="149"/>
      <c r="F2" s="149"/>
      <c r="G2" s="74" t="s">
        <v>30</v>
      </c>
      <c r="H2" s="130">
        <v>39968</v>
      </c>
      <c r="I2" s="130">
        <v>39906</v>
      </c>
      <c r="J2" s="71" t="s">
        <v>31</v>
      </c>
      <c r="K2" s="71" t="s">
        <v>32</v>
      </c>
      <c r="L2" s="71" t="s">
        <v>353</v>
      </c>
      <c r="M2" s="71" t="s">
        <v>454</v>
      </c>
      <c r="N2" s="51"/>
    </row>
    <row r="3" spans="1:14" x14ac:dyDescent="0.45">
      <c r="A3" s="5"/>
      <c r="B3" s="21"/>
      <c r="C3" s="12"/>
      <c r="D3" s="21"/>
      <c r="E3" s="13"/>
      <c r="F3" s="13"/>
      <c r="G3" s="8"/>
      <c r="H3" s="75"/>
      <c r="J3" s="7" t="s">
        <v>22</v>
      </c>
      <c r="K3" s="7" t="s">
        <v>326</v>
      </c>
      <c r="L3" s="7"/>
      <c r="M3" s="21" t="s">
        <v>331</v>
      </c>
      <c r="N3" s="143">
        <v>0.20238095</v>
      </c>
    </row>
    <row r="4" spans="1:14" x14ac:dyDescent="0.45">
      <c r="A4" s="5"/>
      <c r="B4" s="21"/>
      <c r="C4" s="12"/>
      <c r="D4" s="21"/>
      <c r="E4" s="13"/>
      <c r="F4" s="13"/>
      <c r="G4" s="8"/>
      <c r="H4" s="75"/>
      <c r="J4" s="7" t="s">
        <v>246</v>
      </c>
      <c r="K4" s="7" t="s">
        <v>360</v>
      </c>
      <c r="L4" s="7"/>
      <c r="M4" s="21" t="s">
        <v>340</v>
      </c>
      <c r="N4" s="34">
        <v>2.3809520000000001E-2</v>
      </c>
    </row>
    <row r="5" spans="1:14" ht="28.5" x14ac:dyDescent="0.45">
      <c r="A5" s="5"/>
      <c r="B5" s="7"/>
      <c r="C5" s="12"/>
      <c r="D5" s="21"/>
      <c r="E5" s="13"/>
      <c r="F5" s="13"/>
      <c r="G5" s="8"/>
      <c r="H5" s="75"/>
      <c r="J5" s="42" t="s">
        <v>236</v>
      </c>
      <c r="K5" s="7" t="s">
        <v>359</v>
      </c>
      <c r="L5" s="7"/>
      <c r="M5" s="54" t="s">
        <v>671</v>
      </c>
      <c r="N5" s="34">
        <f>37/168</f>
        <v>0.22023809523809523</v>
      </c>
    </row>
    <row r="6" spans="1:14" ht="42.75" x14ac:dyDescent="0.45">
      <c r="A6" s="5"/>
      <c r="B6" s="7"/>
      <c r="C6" s="12"/>
      <c r="D6" s="21"/>
      <c r="E6" s="13"/>
      <c r="F6" s="13"/>
      <c r="G6" s="8"/>
      <c r="H6" s="75"/>
      <c r="J6" s="42" t="s">
        <v>237</v>
      </c>
      <c r="K6" s="7" t="s">
        <v>360</v>
      </c>
      <c r="L6" s="7"/>
      <c r="M6" s="7" t="s">
        <v>331</v>
      </c>
      <c r="N6" s="143">
        <v>0.20238095</v>
      </c>
    </row>
    <row r="7" spans="1:14" x14ac:dyDescent="0.45">
      <c r="A7" s="5"/>
      <c r="B7" s="7"/>
      <c r="C7" s="12"/>
      <c r="D7" s="21"/>
      <c r="E7" s="13"/>
      <c r="F7" s="13"/>
      <c r="G7" s="8"/>
      <c r="H7" s="75"/>
      <c r="J7" s="7" t="s">
        <v>108</v>
      </c>
      <c r="K7" s="7" t="s">
        <v>359</v>
      </c>
      <c r="L7" s="7"/>
      <c r="M7" s="7" t="s">
        <v>332</v>
      </c>
      <c r="N7" s="34">
        <v>6.7460320000000004E-2</v>
      </c>
    </row>
    <row r="8" spans="1:14" x14ac:dyDescent="0.45">
      <c r="A8" s="5"/>
      <c r="B8" s="7"/>
      <c r="C8" s="12"/>
      <c r="D8" s="21"/>
      <c r="E8" s="13"/>
      <c r="F8" s="13"/>
      <c r="G8" s="8"/>
      <c r="H8" s="75"/>
      <c r="J8" s="7" t="s">
        <v>238</v>
      </c>
      <c r="K8" s="7" t="s">
        <v>359</v>
      </c>
      <c r="L8" s="7"/>
      <c r="M8" s="7" t="s">
        <v>333</v>
      </c>
      <c r="N8" s="34">
        <v>3.3730160000000002E-2</v>
      </c>
    </row>
    <row r="9" spans="1:14" x14ac:dyDescent="0.45">
      <c r="A9" s="5"/>
      <c r="B9" s="7"/>
      <c r="C9" s="12"/>
      <c r="D9" s="21"/>
      <c r="E9" s="13"/>
      <c r="F9" s="13"/>
      <c r="G9" s="8"/>
      <c r="H9" s="75"/>
      <c r="J9" s="7" t="s">
        <v>111</v>
      </c>
      <c r="K9" s="7" t="s">
        <v>359</v>
      </c>
      <c r="L9" s="7"/>
      <c r="M9" s="7" t="s">
        <v>333</v>
      </c>
      <c r="N9" s="34">
        <v>3.3730160000000002E-2</v>
      </c>
    </row>
    <row r="10" spans="1:14" x14ac:dyDescent="0.45">
      <c r="A10" s="5"/>
      <c r="B10" s="7"/>
      <c r="C10" s="12"/>
      <c r="D10" s="21"/>
      <c r="E10" s="13"/>
      <c r="F10" s="13"/>
      <c r="G10" s="8"/>
      <c r="H10" s="75"/>
      <c r="J10" s="7" t="s">
        <v>112</v>
      </c>
      <c r="K10" s="7" t="s">
        <v>359</v>
      </c>
      <c r="L10" s="7"/>
      <c r="M10" s="7" t="s">
        <v>334</v>
      </c>
      <c r="N10" s="34">
        <v>2.248677E-2</v>
      </c>
    </row>
    <row r="11" spans="1:14" x14ac:dyDescent="0.45">
      <c r="A11" s="5"/>
      <c r="B11" s="7"/>
      <c r="C11" s="12"/>
      <c r="D11" s="21"/>
      <c r="E11" s="13"/>
      <c r="F11" s="13"/>
      <c r="G11" s="8"/>
      <c r="H11" s="75"/>
      <c r="J11" s="7" t="s">
        <v>239</v>
      </c>
      <c r="K11" s="7" t="s">
        <v>360</v>
      </c>
      <c r="L11" s="7"/>
      <c r="M11" s="7" t="s">
        <v>334</v>
      </c>
      <c r="N11" s="34">
        <v>2.248677E-2</v>
      </c>
    </row>
    <row r="12" spans="1:14" x14ac:dyDescent="0.45">
      <c r="A12" s="5"/>
      <c r="B12" s="7"/>
      <c r="C12" s="12"/>
      <c r="D12" s="21"/>
      <c r="E12" s="13"/>
      <c r="F12" s="13"/>
      <c r="G12" s="8"/>
      <c r="H12" s="75"/>
      <c r="J12" s="7" t="s">
        <v>235</v>
      </c>
      <c r="K12" s="7" t="s">
        <v>359</v>
      </c>
      <c r="L12" s="7"/>
      <c r="M12" s="7" t="s">
        <v>335</v>
      </c>
      <c r="N12" s="34">
        <v>1.1243390000000001E-2</v>
      </c>
    </row>
    <row r="13" spans="1:14" x14ac:dyDescent="0.45">
      <c r="A13" s="5"/>
      <c r="B13" s="7"/>
      <c r="C13" s="12"/>
      <c r="D13" s="21"/>
      <c r="E13" s="13"/>
      <c r="F13" s="13"/>
      <c r="G13" s="8"/>
      <c r="H13" s="75"/>
      <c r="J13" s="7" t="s">
        <v>247</v>
      </c>
      <c r="K13" s="7" t="s">
        <v>359</v>
      </c>
      <c r="L13" s="7"/>
      <c r="M13" s="7" t="s">
        <v>335</v>
      </c>
      <c r="N13" s="34">
        <v>1.1243390000000001E-2</v>
      </c>
    </row>
    <row r="14" spans="1:14" ht="71.25" x14ac:dyDescent="0.45">
      <c r="A14" s="5"/>
      <c r="B14" s="7"/>
      <c r="C14" s="12"/>
      <c r="D14" s="21"/>
      <c r="E14" s="13"/>
      <c r="F14" s="13"/>
      <c r="G14" s="8"/>
      <c r="H14" s="75"/>
      <c r="J14" s="7" t="s">
        <v>248</v>
      </c>
      <c r="K14" s="7" t="s">
        <v>359</v>
      </c>
      <c r="L14" s="7"/>
      <c r="M14" s="7" t="s">
        <v>342</v>
      </c>
      <c r="N14" s="143">
        <v>4.7619050000000003E-2</v>
      </c>
    </row>
    <row r="15" spans="1:14" x14ac:dyDescent="0.45">
      <c r="A15" s="5"/>
      <c r="B15" s="7"/>
      <c r="C15" s="12"/>
      <c r="D15" s="21"/>
      <c r="E15" s="13"/>
      <c r="F15" s="13"/>
      <c r="G15" s="8"/>
      <c r="H15" s="75"/>
      <c r="J15" s="7" t="s">
        <v>249</v>
      </c>
      <c r="K15" s="7" t="s">
        <v>359</v>
      </c>
      <c r="L15" s="7"/>
      <c r="M15" s="7" t="s">
        <v>341</v>
      </c>
      <c r="N15" s="34">
        <v>1.190476E-2</v>
      </c>
    </row>
    <row r="16" spans="1:14" x14ac:dyDescent="0.45">
      <c r="A16" s="5"/>
      <c r="B16" s="7"/>
      <c r="C16" s="12"/>
      <c r="D16" s="21"/>
      <c r="E16" s="13"/>
      <c r="F16" s="13"/>
      <c r="G16" s="8"/>
      <c r="H16" s="75"/>
      <c r="J16" s="7" t="s">
        <v>250</v>
      </c>
      <c r="K16" s="7" t="s">
        <v>359</v>
      </c>
      <c r="L16" s="7"/>
      <c r="M16" s="21" t="s">
        <v>336</v>
      </c>
      <c r="N16" s="34">
        <v>2.232143E-2</v>
      </c>
    </row>
    <row r="17" spans="1:15" x14ac:dyDescent="0.45">
      <c r="A17" s="5"/>
      <c r="B17" s="7"/>
      <c r="C17" s="12"/>
      <c r="D17" s="21"/>
      <c r="E17" s="13"/>
      <c r="F17" s="13"/>
      <c r="G17" s="8"/>
      <c r="H17" s="75"/>
      <c r="J17" s="7" t="s">
        <v>251</v>
      </c>
      <c r="K17" s="7" t="s">
        <v>359</v>
      </c>
      <c r="L17" s="7"/>
      <c r="M17" s="54" t="s">
        <v>336</v>
      </c>
      <c r="N17" s="34">
        <v>2.232143E-2</v>
      </c>
    </row>
    <row r="18" spans="1:15" x14ac:dyDescent="0.45">
      <c r="A18" s="26"/>
      <c r="B18" s="27"/>
      <c r="C18" s="12"/>
      <c r="D18" s="16"/>
      <c r="E18" s="28"/>
      <c r="F18" s="28"/>
      <c r="G18" s="8"/>
      <c r="H18" s="75"/>
      <c r="J18" s="27" t="s">
        <v>252</v>
      </c>
      <c r="K18" s="7" t="s">
        <v>359</v>
      </c>
      <c r="L18" s="7"/>
      <c r="M18" s="54" t="s">
        <v>336</v>
      </c>
      <c r="N18" s="34">
        <v>2.232143E-2</v>
      </c>
    </row>
    <row r="19" spans="1:15" x14ac:dyDescent="0.45">
      <c r="A19" s="5"/>
      <c r="B19" s="7"/>
      <c r="C19" s="12"/>
      <c r="D19" s="21"/>
      <c r="E19" s="13"/>
      <c r="F19" s="13"/>
      <c r="G19" s="8"/>
      <c r="H19" s="75"/>
      <c r="J19" s="7" t="s">
        <v>245</v>
      </c>
      <c r="K19" s="7" t="s">
        <v>358</v>
      </c>
      <c r="L19" s="7"/>
      <c r="M19" s="54" t="s">
        <v>336</v>
      </c>
      <c r="N19" s="34">
        <v>2.232143E-2</v>
      </c>
    </row>
    <row r="20" spans="1:15" ht="14.65" thickBot="1" x14ac:dyDescent="0.5">
      <c r="A20" s="141" t="s">
        <v>385</v>
      </c>
      <c r="B20" s="77"/>
      <c r="C20" s="78"/>
      <c r="D20" s="79"/>
      <c r="E20" s="80"/>
      <c r="F20" s="80"/>
      <c r="G20" s="81"/>
      <c r="H20" s="82"/>
      <c r="I20" s="82"/>
      <c r="J20" s="77"/>
      <c r="K20" s="77"/>
      <c r="L20" s="77"/>
      <c r="M20" s="77"/>
      <c r="N20" s="140">
        <f>SUBTOTAL(109,N2:N19)</f>
        <v>1.0000000052380951</v>
      </c>
    </row>
    <row r="21" spans="1:15" ht="28.5" x14ac:dyDescent="0.45">
      <c r="A21" s="5">
        <f>HYPERLINK(Table14535434567[[#This Row],[Image Path]],Table14535434567[[#This Row],[Order by Date]])</f>
        <v>1</v>
      </c>
      <c r="B21" s="7" t="s">
        <v>151</v>
      </c>
      <c r="C21" s="12">
        <v>1</v>
      </c>
      <c r="D21" s="21" t="str">
        <f>CONCATENATE("TORS_Documents\",Table14535434567[[#This Row],[Instrument No.
San Jacinto]],".pdf")</f>
        <v>TORS_Documents\09-3821.pdf</v>
      </c>
      <c r="E21" s="13"/>
      <c r="F21" s="13"/>
      <c r="G21" s="8" t="s">
        <v>386</v>
      </c>
      <c r="H21" s="14">
        <v>39981</v>
      </c>
      <c r="I21" s="14">
        <v>38657</v>
      </c>
      <c r="J21" s="7" t="s">
        <v>148</v>
      </c>
      <c r="K21" s="7" t="s">
        <v>149</v>
      </c>
      <c r="L21" s="7" t="s">
        <v>150</v>
      </c>
      <c r="M21" s="7"/>
      <c r="N21" s="61"/>
    </row>
    <row r="22" spans="1:15" ht="28.5" x14ac:dyDescent="0.45">
      <c r="A22" s="5">
        <f>HYPERLINK(Table14535434567[[#This Row],[Image Path]],Table14535434567[[#This Row],[Order by Date]])</f>
        <v>2</v>
      </c>
      <c r="B22" s="7" t="s">
        <v>175</v>
      </c>
      <c r="C22" s="12">
        <f t="shared" ref="C22:C35" si="0">C21+1</f>
        <v>2</v>
      </c>
      <c r="D22" s="21" t="str">
        <f>CONCATENATE("TORS_Documents\",Table14535434567[[#This Row],[Instrument No.
San Jacinto]],".pdf")</f>
        <v>TORS_Documents\11-4768.pdf</v>
      </c>
      <c r="E22" s="13"/>
      <c r="F22" s="13"/>
      <c r="G22" s="8" t="s">
        <v>388</v>
      </c>
      <c r="H22" s="14">
        <v>40801</v>
      </c>
      <c r="I22" s="14">
        <v>40542</v>
      </c>
      <c r="J22" s="7" t="s">
        <v>188</v>
      </c>
      <c r="K22" s="7" t="s">
        <v>189</v>
      </c>
      <c r="L22" s="7" t="s">
        <v>16</v>
      </c>
      <c r="M22" s="7"/>
      <c r="N22" s="61"/>
    </row>
    <row r="23" spans="1:15" ht="42.75" x14ac:dyDescent="0.45">
      <c r="A23" s="5">
        <f>HYPERLINK(Table14535434567[[#This Row],[Image Path]],Table14535434567[[#This Row],[Order by Date]])</f>
        <v>3</v>
      </c>
      <c r="B23" s="7" t="s">
        <v>198</v>
      </c>
      <c r="C23" s="12">
        <f t="shared" si="0"/>
        <v>3</v>
      </c>
      <c r="D23" s="21" t="str">
        <f>CONCATENATE("TORS_Documents\",Table14535434567[[#This Row],[Instrument No.
San Jacinto]],".pdf")</f>
        <v>TORS_Documents\2012006700.pdf</v>
      </c>
      <c r="E23" s="13"/>
      <c r="F23" s="13"/>
      <c r="G23" s="8" t="s">
        <v>426</v>
      </c>
      <c r="H23" s="14">
        <v>41263</v>
      </c>
      <c r="I23" s="14">
        <v>40909</v>
      </c>
      <c r="J23" s="7" t="s">
        <v>190</v>
      </c>
      <c r="K23" s="7" t="s">
        <v>191</v>
      </c>
      <c r="L23" s="7" t="s">
        <v>192</v>
      </c>
      <c r="M23" s="7"/>
      <c r="N23" s="61"/>
    </row>
    <row r="24" spans="1:15" ht="28.5" x14ac:dyDescent="0.45">
      <c r="A24" s="5">
        <f>HYPERLINK(Table14535434567[[#This Row],[Image Path]],Table14535434567[[#This Row],[Order by Date]])</f>
        <v>4</v>
      </c>
      <c r="B24" s="7" t="s">
        <v>199</v>
      </c>
      <c r="C24" s="12">
        <f t="shared" si="0"/>
        <v>4</v>
      </c>
      <c r="D24" s="21" t="str">
        <f>CONCATENATE("TORS_Documents\",Table14535434567[[#This Row],[Instrument No.
San Jacinto]],".pdf")</f>
        <v>TORS_Documents\2012006703.pdf</v>
      </c>
      <c r="E24" s="13"/>
      <c r="F24" s="13"/>
      <c r="G24" s="8" t="s">
        <v>427</v>
      </c>
      <c r="H24" s="14">
        <v>41263</v>
      </c>
      <c r="I24" s="14">
        <v>41223</v>
      </c>
      <c r="J24" s="7" t="s">
        <v>193</v>
      </c>
      <c r="K24" s="7" t="s">
        <v>194</v>
      </c>
      <c r="L24" s="7" t="s">
        <v>195</v>
      </c>
      <c r="M24" s="7"/>
      <c r="N24" s="61"/>
    </row>
    <row r="25" spans="1:15" ht="28.5" x14ac:dyDescent="0.45">
      <c r="A25" s="5">
        <f>HYPERLINK(Table14535434567[[#This Row],[Image Path]],Table14535434567[[#This Row],[Order by Date]])</f>
        <v>5</v>
      </c>
      <c r="B25" s="7" t="s">
        <v>200</v>
      </c>
      <c r="C25" s="12">
        <f t="shared" si="0"/>
        <v>5</v>
      </c>
      <c r="D25" s="21" t="str">
        <f>CONCATENATE("TORS_Documents\",Table14535434567[[#This Row],[Instrument No.
San Jacinto]],".pdf")</f>
        <v>TORS_Documents\2012006704.pdf</v>
      </c>
      <c r="E25" s="13"/>
      <c r="F25" s="13"/>
      <c r="G25" s="8" t="s">
        <v>428</v>
      </c>
      <c r="H25" s="14">
        <v>41263</v>
      </c>
      <c r="I25" s="14">
        <v>41244</v>
      </c>
      <c r="J25" s="7" t="s">
        <v>194</v>
      </c>
      <c r="K25" s="7" t="s">
        <v>196</v>
      </c>
      <c r="L25" s="7" t="s">
        <v>197</v>
      </c>
      <c r="M25" s="7"/>
      <c r="N25" s="61"/>
    </row>
    <row r="26" spans="1:15" ht="28.5" x14ac:dyDescent="0.45">
      <c r="A26" s="5">
        <f>HYPERLINK(Table14535434567[[#This Row],[Image Path]],Table14535434567[[#This Row],[Order by Date]])</f>
        <v>6</v>
      </c>
      <c r="B26" s="7" t="s">
        <v>219</v>
      </c>
      <c r="C26" s="12">
        <f t="shared" si="0"/>
        <v>6</v>
      </c>
      <c r="D26" s="21" t="str">
        <f>CONCATENATE("TORS_Documents\",Table14535434567[[#This Row],[Instrument No.
San Jacinto]],".pdf")</f>
        <v>TORS_Documents\20172674.pdf</v>
      </c>
      <c r="E26" s="13"/>
      <c r="F26" s="13"/>
      <c r="G26" s="64" t="s">
        <v>216</v>
      </c>
      <c r="H26" s="14">
        <v>42871</v>
      </c>
      <c r="I26" s="14">
        <v>42853</v>
      </c>
      <c r="J26" s="7" t="s">
        <v>217</v>
      </c>
      <c r="K26" s="7" t="s">
        <v>34</v>
      </c>
      <c r="L26" s="7" t="s">
        <v>218</v>
      </c>
      <c r="M26" s="7"/>
      <c r="N26" s="61"/>
    </row>
    <row r="27" spans="1:15" ht="42.75" x14ac:dyDescent="0.45">
      <c r="A27" s="5">
        <f>HYPERLINK(Table14535434567[[#This Row],[Image Path]],Table14535434567[[#This Row],[Order by Date]])</f>
        <v>7</v>
      </c>
      <c r="B27" s="7" t="s">
        <v>389</v>
      </c>
      <c r="C27" s="12">
        <f t="shared" si="0"/>
        <v>7</v>
      </c>
      <c r="D27" s="21" t="str">
        <f>CONCATENATE("TORS_Documents\",Table14535434567[[#This Row],[Instrument No.
San Jacinto]],".pdf")</f>
        <v>TORS_Documents\20174126.pdf</v>
      </c>
      <c r="E27" s="13"/>
      <c r="F27" s="13"/>
      <c r="G27" s="8" t="s">
        <v>222</v>
      </c>
      <c r="H27" s="14">
        <v>42933</v>
      </c>
      <c r="I27" s="14">
        <v>42912</v>
      </c>
      <c r="J27" s="22" t="s">
        <v>223</v>
      </c>
      <c r="K27" s="7" t="s">
        <v>501</v>
      </c>
      <c r="L27" s="7" t="s">
        <v>16</v>
      </c>
      <c r="M27" s="7" t="s">
        <v>500</v>
      </c>
      <c r="N27" s="34"/>
    </row>
    <row r="28" spans="1:15" s="17" customFormat="1" ht="42.75" x14ac:dyDescent="0.45">
      <c r="A28" s="5">
        <f>HYPERLINK(Table14535434567[[#This Row],[Image Path]],Table14535434567[[#This Row],[Order by Date]])</f>
        <v>8</v>
      </c>
      <c r="B28" s="7" t="s">
        <v>228</v>
      </c>
      <c r="C28" s="12">
        <f t="shared" si="0"/>
        <v>8</v>
      </c>
      <c r="D28" s="21" t="str">
        <f>CONCATENATE("TORS_Documents\",Table14535434567[[#This Row],[Instrument No.
San Jacinto]],".pdf")</f>
        <v>TORS_Documents\20191765.pdf</v>
      </c>
      <c r="E28" s="13"/>
      <c r="F28" s="13"/>
      <c r="G28" s="8" t="s">
        <v>225</v>
      </c>
      <c r="H28" s="14">
        <v>43549</v>
      </c>
      <c r="I28" s="14">
        <v>43545</v>
      </c>
      <c r="J28" s="22" t="s">
        <v>226</v>
      </c>
      <c r="K28" s="7" t="s">
        <v>227</v>
      </c>
      <c r="L28" s="7" t="s">
        <v>276</v>
      </c>
      <c r="M28" s="7"/>
      <c r="N28" s="34"/>
      <c r="O28" s="33"/>
    </row>
    <row r="29" spans="1:15" s="17" customFormat="1" ht="28.5" x14ac:dyDescent="0.45">
      <c r="A29" s="5">
        <f>HYPERLINK(Table14535434567[[#This Row],[Image Path]],Table14535434567[[#This Row],[Order by Date]])</f>
        <v>9</v>
      </c>
      <c r="B29" s="7" t="s">
        <v>496</v>
      </c>
      <c r="C29" s="12">
        <f t="shared" si="0"/>
        <v>9</v>
      </c>
      <c r="D29" s="21" t="str">
        <f>CONCATENATE("TORS_Documents\",Table14535434567[[#This Row],[Instrument No.
San Jacinto]],".pdf")</f>
        <v>TORS_Documents\2018-CPC-00366.pdf</v>
      </c>
      <c r="E29" s="13"/>
      <c r="F29" s="13"/>
      <c r="G29" s="8" t="s">
        <v>234</v>
      </c>
      <c r="H29" s="14">
        <v>43714</v>
      </c>
      <c r="I29" s="14">
        <v>43564</v>
      </c>
      <c r="J29" s="22" t="s">
        <v>498</v>
      </c>
      <c r="K29" s="7" t="s">
        <v>497</v>
      </c>
      <c r="L29" s="7"/>
      <c r="M29" s="7" t="s">
        <v>499</v>
      </c>
      <c r="N29" s="34"/>
      <c r="O29" s="33"/>
    </row>
    <row r="30" spans="1:15" s="17" customFormat="1" ht="42.75" x14ac:dyDescent="0.45">
      <c r="A30" s="5">
        <f>HYPERLINK(Table14535434567[[#This Row],[Image Path]],Table14535434567[[#This Row],[Order by Date]])</f>
        <v>10</v>
      </c>
      <c r="B30" s="7" t="s">
        <v>277</v>
      </c>
      <c r="C30" s="12">
        <f t="shared" si="0"/>
        <v>10</v>
      </c>
      <c r="D30" s="21" t="str">
        <f>CONCATENATE("TORS_Documents\",Table14535434567[[#This Row],[Instrument No.
San Jacinto]],".pdf")</f>
        <v>TORS_Documents\20236699.pdf</v>
      </c>
      <c r="E30" s="13"/>
      <c r="F30" s="13"/>
      <c r="G30" s="8" t="s">
        <v>232</v>
      </c>
      <c r="H30" s="14">
        <v>45010</v>
      </c>
      <c r="I30" s="14">
        <v>45185</v>
      </c>
      <c r="J30" s="22" t="s">
        <v>233</v>
      </c>
      <c r="K30" s="7" t="s">
        <v>231</v>
      </c>
      <c r="L30" s="7" t="s">
        <v>507</v>
      </c>
      <c r="M30" s="7" t="s">
        <v>506</v>
      </c>
      <c r="N30" s="34"/>
      <c r="O30" s="33"/>
    </row>
    <row r="31" spans="1:15" s="17" customFormat="1" ht="42.75" x14ac:dyDescent="0.45">
      <c r="A31" s="5">
        <f>HYPERLINK(Table14535434567[[#This Row],[Image Path]],Table14535434567[[#This Row],[Order by Date]])</f>
        <v>11</v>
      </c>
      <c r="B31" s="7" t="s">
        <v>277</v>
      </c>
      <c r="C31" s="12">
        <f t="shared" si="0"/>
        <v>11</v>
      </c>
      <c r="D31" s="21" t="str">
        <f>CONCATENATE("TORS_Documents\",Table14535434567[[#This Row],[Instrument No.
San Jacinto]],".pdf")</f>
        <v>TORS_Documents\20235164.pdf</v>
      </c>
      <c r="E31" s="13"/>
      <c r="F31" s="13"/>
      <c r="G31" s="8" t="s">
        <v>229</v>
      </c>
      <c r="H31" s="14">
        <v>45182</v>
      </c>
      <c r="I31" s="14">
        <v>45170</v>
      </c>
      <c r="J31" s="22" t="s">
        <v>230</v>
      </c>
      <c r="K31" s="7" t="s">
        <v>231</v>
      </c>
      <c r="L31" s="7" t="s">
        <v>507</v>
      </c>
      <c r="M31" s="7" t="s">
        <v>506</v>
      </c>
      <c r="N31" s="34"/>
      <c r="O31" s="33"/>
    </row>
    <row r="32" spans="1:15" ht="28.5" x14ac:dyDescent="0.45">
      <c r="A32" s="5">
        <f>HYPERLINK(Table14535434567[[#This Row],[Image Path]],Table14535434567[[#This Row],[Order by Date]])</f>
        <v>12</v>
      </c>
      <c r="B32" s="7" t="s">
        <v>219</v>
      </c>
      <c r="C32" s="12">
        <f t="shared" si="0"/>
        <v>12</v>
      </c>
      <c r="D32" s="21" t="str">
        <f>CONCATENATE("TORS_Documents\",Table14535434567[[#This Row],[Instrument No.
San Jacinto]],".pdf")</f>
        <v>TORS_Documents\20242292.pdf</v>
      </c>
      <c r="E32" s="13"/>
      <c r="F32" s="13"/>
      <c r="G32" s="8" t="s">
        <v>220</v>
      </c>
      <c r="H32" s="14">
        <v>45405</v>
      </c>
      <c r="I32" s="14">
        <v>45393</v>
      </c>
      <c r="J32" s="22" t="s">
        <v>221</v>
      </c>
      <c r="K32" s="7" t="s">
        <v>34</v>
      </c>
      <c r="L32" s="7"/>
      <c r="M32" s="7" t="s">
        <v>218</v>
      </c>
      <c r="N32" s="61"/>
    </row>
    <row r="33" spans="1:14" x14ac:dyDescent="0.45">
      <c r="A33" s="5">
        <f>HYPERLINK(Table14535434567[[#This Row],[Image Path]],Table14535434567[[#This Row],[Order by Date]])</f>
        <v>13</v>
      </c>
      <c r="B33" s="7" t="s">
        <v>211</v>
      </c>
      <c r="C33" s="12">
        <f t="shared" si="0"/>
        <v>13</v>
      </c>
      <c r="D33" s="21" t="str">
        <f>CONCATENATE("TORS_Documents\",Table14535434567[[#This Row],[Instrument No.
San Jacinto]],".pdf")</f>
        <v>TORS_Documents\20241988.pdf</v>
      </c>
      <c r="E33" s="13"/>
      <c r="F33" s="13"/>
      <c r="G33" s="8" t="s">
        <v>482</v>
      </c>
      <c r="H33" s="14">
        <v>45425</v>
      </c>
      <c r="I33" s="14">
        <v>45239</v>
      </c>
      <c r="J33" s="22" t="s">
        <v>108</v>
      </c>
      <c r="K33" s="7" t="s">
        <v>210</v>
      </c>
      <c r="L33" s="7"/>
      <c r="M33" s="7"/>
      <c r="N33" s="61"/>
    </row>
    <row r="34" spans="1:14" ht="42.75" x14ac:dyDescent="0.45">
      <c r="A34" s="5">
        <f>HYPERLINK(Table14535434567[[#This Row],[Image Path]],Table14535434567[[#This Row],[Order by Date]])</f>
        <v>14</v>
      </c>
      <c r="B34" s="7" t="s">
        <v>484</v>
      </c>
      <c r="C34" s="12">
        <f t="shared" si="0"/>
        <v>14</v>
      </c>
      <c r="D34" s="21" t="str">
        <f>CONCATENATE("TORS_Documents\",Table14535434567[[#This Row],[Instrument No.
San Jacinto]],".pdf")</f>
        <v>TORS_Documents\24CPR0065_Probate.pdf</v>
      </c>
      <c r="E34" s="13"/>
      <c r="F34" s="13"/>
      <c r="G34" s="8" t="s">
        <v>483</v>
      </c>
      <c r="H34" s="14">
        <v>45490</v>
      </c>
      <c r="I34" s="14">
        <v>45481</v>
      </c>
      <c r="J34" s="22" t="s">
        <v>485</v>
      </c>
      <c r="K34" s="7" t="s">
        <v>508</v>
      </c>
      <c r="L34" s="7" t="s">
        <v>486</v>
      </c>
      <c r="M34" s="7" t="s">
        <v>509</v>
      </c>
      <c r="N34" s="61"/>
    </row>
    <row r="35" spans="1:14" ht="28.5" x14ac:dyDescent="0.45">
      <c r="A35" s="5">
        <f>HYPERLINK(Table14535434567[[#This Row],[Image Path]],Table14535434567[[#This Row],[Order by Date]])</f>
        <v>15</v>
      </c>
      <c r="B35" s="7" t="s">
        <v>175</v>
      </c>
      <c r="C35" s="12">
        <f t="shared" si="0"/>
        <v>15</v>
      </c>
      <c r="D35" s="21" t="str">
        <f>CONCATENATE("TORS_Documents\",Table14535434567[[#This Row],[Instrument No.
San Jacinto]],".pdf")</f>
        <v>TORS_Documents\P2025-4.pdf</v>
      </c>
      <c r="E35" s="13"/>
      <c r="F35" s="13"/>
      <c r="G35" s="8" t="s">
        <v>212</v>
      </c>
      <c r="H35" s="14">
        <v>45699</v>
      </c>
      <c r="I35" s="14">
        <v>45699</v>
      </c>
      <c r="J35" s="22" t="s">
        <v>492</v>
      </c>
      <c r="K35" s="7" t="s">
        <v>495</v>
      </c>
      <c r="L35" s="7" t="s">
        <v>493</v>
      </c>
      <c r="M35" s="7" t="s">
        <v>494</v>
      </c>
      <c r="N35" s="61"/>
    </row>
  </sheetData>
  <phoneticPr fontId="3" type="noConversion"/>
  <pageMargins left="0.5" right="0.5" top="1" bottom="0.75" header="0.3" footer="0.3"/>
  <pageSetup paperSize="5" scale="62" fitToHeight="0" orientation="landscape" horizontalDpi="1200" verticalDpi="1200" r:id="rId1"/>
  <headerFooter>
    <oddHeader>&amp;LUnit Tract 6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7D79A-271F-45AC-8A99-C0DC97AEB1DF}">
  <sheetPr>
    <pageSetUpPr fitToPage="1"/>
  </sheetPr>
  <dimension ref="A1:N43"/>
  <sheetViews>
    <sheetView zoomScale="90" zoomScaleNormal="90" workbookViewId="0">
      <selection activeCell="L18" sqref="L18"/>
    </sheetView>
  </sheetViews>
  <sheetFormatPr defaultColWidth="8.796875" defaultRowHeight="14.25" x14ac:dyDescent="0.45"/>
  <cols>
    <col min="1" max="1" width="15.33203125" style="4" customWidth="1"/>
    <col min="2" max="2" width="14" style="17" customWidth="1"/>
    <col min="3" max="3" width="12.33203125" style="18" hidden="1" customWidth="1"/>
    <col min="4" max="4" width="42.59765625" style="17" hidden="1" customWidth="1"/>
    <col min="5" max="5" width="7.46484375" style="18" hidden="1" customWidth="1"/>
    <col min="6" max="6" width="5" style="18" hidden="1" customWidth="1"/>
    <col min="7" max="7" width="15.46484375" style="18" customWidth="1"/>
    <col min="8" max="8" width="14.06640625" style="19" customWidth="1"/>
    <col min="9" max="9" width="11.46484375" style="20" customWidth="1"/>
    <col min="10" max="10" width="38.46484375" style="18" customWidth="1"/>
    <col min="11" max="11" width="38.46484375" style="17" customWidth="1"/>
    <col min="12" max="12" width="52.796875" style="17" customWidth="1"/>
    <col min="13" max="13" width="55.33203125" style="17" customWidth="1"/>
    <col min="14" max="14" width="17.06640625" style="17" customWidth="1"/>
    <col min="15" max="16384" width="8.796875" style="17"/>
  </cols>
  <sheetData>
    <row r="1" spans="1:14" ht="58.15" customHeight="1" thickBot="1" x14ac:dyDescent="0.5">
      <c r="A1" s="146" t="s">
        <v>73</v>
      </c>
      <c r="B1" s="146" t="s">
        <v>0</v>
      </c>
      <c r="C1" s="146" t="s">
        <v>1</v>
      </c>
      <c r="D1" s="147" t="s">
        <v>2</v>
      </c>
      <c r="E1" s="146" t="s">
        <v>3</v>
      </c>
      <c r="F1" s="146" t="s">
        <v>4</v>
      </c>
      <c r="G1" s="146" t="s">
        <v>5</v>
      </c>
      <c r="H1" s="146" t="s">
        <v>6</v>
      </c>
      <c r="I1" s="146" t="s">
        <v>7</v>
      </c>
      <c r="J1" s="146" t="s">
        <v>8</v>
      </c>
      <c r="K1" s="146" t="s">
        <v>9</v>
      </c>
      <c r="L1" s="146" t="s">
        <v>10</v>
      </c>
      <c r="M1" s="146" t="s">
        <v>11</v>
      </c>
      <c r="N1" s="148" t="s">
        <v>370</v>
      </c>
    </row>
    <row r="2" spans="1:14" ht="42.75" x14ac:dyDescent="0.45">
      <c r="A2" s="98" t="str">
        <f>HYPERLINK(Table145354345678[[#This Row],[Image Path]],Table145354345678[[#This Row],[Order by Date]])</f>
        <v>1</v>
      </c>
      <c r="B2" s="93" t="s">
        <v>29</v>
      </c>
      <c r="C2" s="95" t="s">
        <v>67</v>
      </c>
      <c r="D2" s="95" t="str">
        <f>CONCATENATE("TORS_Documents\",Table145354345678[[#This Row],[Instrument No.
San Jacinto]],".pdf")</f>
        <v>TORS_Documents\DOTO_ElmoreC-1_Unit.pdf</v>
      </c>
      <c r="E2" s="145"/>
      <c r="F2" s="145"/>
      <c r="G2" s="93" t="s">
        <v>30</v>
      </c>
      <c r="H2" s="130">
        <v>39968</v>
      </c>
      <c r="I2" s="130">
        <v>39906</v>
      </c>
      <c r="J2" s="93" t="s">
        <v>31</v>
      </c>
      <c r="K2" s="93" t="s">
        <v>32</v>
      </c>
      <c r="L2" s="71" t="s">
        <v>371</v>
      </c>
      <c r="M2" s="71" t="s">
        <v>454</v>
      </c>
      <c r="N2" s="44"/>
    </row>
    <row r="3" spans="1:14" x14ac:dyDescent="0.45">
      <c r="A3" s="5"/>
      <c r="B3" s="42"/>
      <c r="C3" s="42"/>
      <c r="D3" s="42"/>
      <c r="E3" s="42"/>
      <c r="F3" s="42"/>
      <c r="G3" s="22"/>
      <c r="H3" s="96"/>
      <c r="I3" s="43"/>
      <c r="J3" s="22" t="s">
        <v>22</v>
      </c>
      <c r="K3" s="7" t="s">
        <v>369</v>
      </c>
      <c r="L3" s="22"/>
      <c r="M3" s="21" t="s">
        <v>674</v>
      </c>
      <c r="N3" s="45">
        <f>3/4</f>
        <v>0.75</v>
      </c>
    </row>
    <row r="4" spans="1:14" x14ac:dyDescent="0.45">
      <c r="A4" s="5"/>
      <c r="B4" s="42"/>
      <c r="C4" s="42"/>
      <c r="D4" s="42"/>
      <c r="E4" s="42"/>
      <c r="F4" s="42"/>
      <c r="G4" s="22"/>
      <c r="H4" s="96"/>
      <c r="I4" s="43"/>
      <c r="J4" s="22" t="s">
        <v>255</v>
      </c>
      <c r="K4" s="7" t="s">
        <v>369</v>
      </c>
      <c r="L4" s="22"/>
      <c r="M4" s="46" t="s">
        <v>338</v>
      </c>
      <c r="N4" s="45">
        <f>1/4</f>
        <v>0.25</v>
      </c>
    </row>
    <row r="5" spans="1:14" ht="14.65" thickBot="1" x14ac:dyDescent="0.5">
      <c r="A5" s="141" t="s">
        <v>385</v>
      </c>
      <c r="B5" s="77"/>
      <c r="C5" s="78"/>
      <c r="D5" s="79"/>
      <c r="E5" s="80"/>
      <c r="F5" s="80"/>
      <c r="G5" s="81"/>
      <c r="H5" s="82"/>
      <c r="I5" s="82"/>
      <c r="J5" s="77"/>
      <c r="K5" s="77"/>
      <c r="L5" s="77"/>
      <c r="M5" s="77"/>
      <c r="N5" s="140">
        <f>SUBTOTAL(109,N2:N4)</f>
        <v>1</v>
      </c>
    </row>
    <row r="6" spans="1:14" ht="28.5" x14ac:dyDescent="0.45">
      <c r="A6" s="15">
        <f>HYPERLINK(Table145354345678[[#This Row],[Image Path]],Table145354345678[[#This Row],[Order by Date]])</f>
        <v>1</v>
      </c>
      <c r="B6" s="22" t="s">
        <v>164</v>
      </c>
      <c r="C6" s="42">
        <v>1</v>
      </c>
      <c r="D6" s="42" t="str">
        <f>CONCATENATE("TORS_Documents\",Table145354345678[[#This Row],[Instrument No.
San Jacinto]],".pdf")</f>
        <v>TORS_Documents\2013003629.pdf</v>
      </c>
      <c r="E6" s="42"/>
      <c r="F6" s="42"/>
      <c r="G6" s="8" t="s">
        <v>431</v>
      </c>
      <c r="H6" s="14">
        <v>41452</v>
      </c>
      <c r="I6" s="14">
        <v>41053</v>
      </c>
      <c r="J6" s="22" t="s">
        <v>152</v>
      </c>
      <c r="K6" s="22" t="s">
        <v>153</v>
      </c>
      <c r="L6" s="22" t="s">
        <v>154</v>
      </c>
      <c r="M6" s="22"/>
      <c r="N6" s="45"/>
    </row>
    <row r="7" spans="1:14" ht="28.5" x14ac:dyDescent="0.45">
      <c r="A7" s="5">
        <f>HYPERLINK(Table145354345678[[#This Row],[Image Path]],Table145354345678[[#This Row],[Order by Date]])</f>
        <v>2</v>
      </c>
      <c r="B7" s="22" t="s">
        <v>389</v>
      </c>
      <c r="C7" s="42">
        <f t="shared" ref="C7:C12" si="0">C6+1</f>
        <v>2</v>
      </c>
      <c r="D7" s="42" t="str">
        <f>CONCATENATE("TORS_Documents\",Table145354345678[[#This Row],[Instrument No.
San Jacinto]],".pdf")</f>
        <v>TORS_Documents\2014006917.pdf</v>
      </c>
      <c r="E7" s="42"/>
      <c r="F7" s="42"/>
      <c r="G7" s="8" t="s">
        <v>432</v>
      </c>
      <c r="H7" s="14">
        <v>41995</v>
      </c>
      <c r="I7" s="14">
        <v>41893</v>
      </c>
      <c r="J7" s="22" t="s">
        <v>515</v>
      </c>
      <c r="K7" s="22" t="s">
        <v>516</v>
      </c>
      <c r="L7" s="22" t="s">
        <v>16</v>
      </c>
      <c r="M7" s="22"/>
      <c r="N7" s="45"/>
    </row>
    <row r="8" spans="1:14" ht="42.75" x14ac:dyDescent="0.45">
      <c r="A8" s="5">
        <f>HYPERLINK(Table145354345678[[#This Row],[Image Path]],Table145354345678[[#This Row],[Order by Date]])</f>
        <v>3</v>
      </c>
      <c r="B8" s="22" t="s">
        <v>165</v>
      </c>
      <c r="C8" s="42">
        <f t="shared" si="0"/>
        <v>3</v>
      </c>
      <c r="D8" s="42" t="str">
        <f>CONCATENATE("TORS_Documents\",Table145354345678[[#This Row],[Instrument No.
San Jacinto]],".pdf")</f>
        <v>TORS_Documents\2014007129.pdf</v>
      </c>
      <c r="E8" s="42"/>
      <c r="F8" s="42"/>
      <c r="G8" s="8" t="s">
        <v>433</v>
      </c>
      <c r="H8" s="14">
        <v>42004</v>
      </c>
      <c r="I8" s="14">
        <v>41996</v>
      </c>
      <c r="J8" s="22" t="s">
        <v>155</v>
      </c>
      <c r="K8" s="22" t="s">
        <v>156</v>
      </c>
      <c r="L8" s="22" t="s">
        <v>157</v>
      </c>
      <c r="M8" s="22" t="s">
        <v>514</v>
      </c>
      <c r="N8" s="45"/>
    </row>
    <row r="9" spans="1:14" ht="28.5" x14ac:dyDescent="0.45">
      <c r="A9" s="5">
        <f>HYPERLINK(Table145354345678[[#This Row],[Image Path]],Table145354345678[[#This Row],[Order by Date]])</f>
        <v>4</v>
      </c>
      <c r="B9" s="22" t="s">
        <v>166</v>
      </c>
      <c r="C9" s="42">
        <f t="shared" si="0"/>
        <v>4</v>
      </c>
      <c r="D9" s="42" t="str">
        <f>CONCATENATE("TORS_Documents\",Table145354345678[[#This Row],[Instrument No.
San Jacinto]],".pdf")</f>
        <v>TORS_Documents\20150085.pdf</v>
      </c>
      <c r="E9" s="42"/>
      <c r="F9" s="42"/>
      <c r="G9" s="8" t="s">
        <v>158</v>
      </c>
      <c r="H9" s="14">
        <v>42010</v>
      </c>
      <c r="I9" s="14">
        <v>41997</v>
      </c>
      <c r="J9" s="22" t="s">
        <v>153</v>
      </c>
      <c r="K9" s="22" t="s">
        <v>159</v>
      </c>
      <c r="L9" s="22" t="s">
        <v>160</v>
      </c>
      <c r="M9" s="22" t="s">
        <v>514</v>
      </c>
      <c r="N9" s="45"/>
    </row>
    <row r="10" spans="1:14" ht="42.75" x14ac:dyDescent="0.45">
      <c r="A10" s="5">
        <f>HYPERLINK(Table145354345678[[#This Row],[Image Path]],Table145354345678[[#This Row],[Order by Date]])</f>
        <v>5</v>
      </c>
      <c r="B10" s="22" t="s">
        <v>167</v>
      </c>
      <c r="C10" s="42">
        <f t="shared" si="0"/>
        <v>5</v>
      </c>
      <c r="D10" s="42" t="str">
        <f>CONCATENATE("TORS_Documents\",Table145354345678[[#This Row],[Instrument No.
San Jacinto]],".pdf")</f>
        <v>TORS_Documents\20151095.pdf</v>
      </c>
      <c r="E10" s="42"/>
      <c r="F10" s="42"/>
      <c r="G10" s="8" t="s">
        <v>161</v>
      </c>
      <c r="H10" s="14">
        <v>42079</v>
      </c>
      <c r="I10" s="14">
        <v>41996</v>
      </c>
      <c r="J10" s="22" t="s">
        <v>156</v>
      </c>
      <c r="K10" s="22" t="s">
        <v>159</v>
      </c>
      <c r="L10" s="22" t="s">
        <v>157</v>
      </c>
      <c r="M10" s="22" t="s">
        <v>514</v>
      </c>
      <c r="N10" s="45"/>
    </row>
    <row r="11" spans="1:14" ht="28.5" x14ac:dyDescent="0.45">
      <c r="A11" s="5">
        <f>HYPERLINK(Table145354345678[[#This Row],[Image Path]],Table145354345678[[#This Row],[Order by Date]])</f>
        <v>6</v>
      </c>
      <c r="B11" s="22" t="s">
        <v>145</v>
      </c>
      <c r="C11" s="42">
        <f t="shared" si="0"/>
        <v>6</v>
      </c>
      <c r="D11" s="42" t="str">
        <f>CONCATENATE("TORS_Documents\",Table145354345678[[#This Row],[Instrument No.
San Jacinto]],".pdf")</f>
        <v>TORS_Documents\20195601.pdf</v>
      </c>
      <c r="E11" s="42"/>
      <c r="F11" s="42"/>
      <c r="G11" s="8" t="s">
        <v>162</v>
      </c>
      <c r="H11" s="14">
        <v>43713</v>
      </c>
      <c r="I11" s="14">
        <v>43696</v>
      </c>
      <c r="J11" s="22" t="s">
        <v>159</v>
      </c>
      <c r="K11" s="22" t="s">
        <v>153</v>
      </c>
      <c r="L11" s="22" t="s">
        <v>163</v>
      </c>
      <c r="M11" s="22" t="s">
        <v>514</v>
      </c>
      <c r="N11" s="45"/>
    </row>
    <row r="12" spans="1:14" ht="28.5" x14ac:dyDescent="0.45">
      <c r="A12" s="5">
        <f>HYPERLINK(Table145354345678[[#This Row],[Image Path]],Table145354345678[[#This Row],[Order by Date]])</f>
        <v>7</v>
      </c>
      <c r="B12" s="22" t="s">
        <v>145</v>
      </c>
      <c r="C12" s="42">
        <f t="shared" si="0"/>
        <v>7</v>
      </c>
      <c r="D12" s="42" t="str">
        <f>CONCATENATE("TORS_Documents\",Table145354345678[[#This Row],[Instrument No.
San Jacinto]],".pdf")</f>
        <v>TORS_Documents\20205047.pdf</v>
      </c>
      <c r="E12" s="42"/>
      <c r="F12" s="42"/>
      <c r="G12" s="8" t="s">
        <v>168</v>
      </c>
      <c r="H12" s="14">
        <v>44069</v>
      </c>
      <c r="I12" s="14">
        <v>44062</v>
      </c>
      <c r="J12" s="22" t="s">
        <v>169</v>
      </c>
      <c r="K12" s="22" t="s">
        <v>170</v>
      </c>
      <c r="L12" s="22" t="s">
        <v>163</v>
      </c>
      <c r="M12" s="22" t="s">
        <v>514</v>
      </c>
      <c r="N12" s="45"/>
    </row>
    <row r="13" spans="1:14" x14ac:dyDescent="0.45">
      <c r="A13" s="5"/>
      <c r="B13" s="22"/>
      <c r="C13" s="42"/>
      <c r="D13" s="42"/>
      <c r="E13" s="42"/>
      <c r="F13" s="42"/>
      <c r="G13" s="22"/>
      <c r="H13" s="43"/>
      <c r="I13" s="43"/>
      <c r="J13" s="22"/>
      <c r="K13" s="22"/>
      <c r="L13" s="22"/>
      <c r="M13" s="22"/>
      <c r="N13" s="45"/>
    </row>
    <row r="14" spans="1:14" x14ac:dyDescent="0.45">
      <c r="A14" s="5"/>
      <c r="B14" s="22"/>
      <c r="C14" s="42"/>
      <c r="D14" s="42"/>
      <c r="E14" s="42"/>
      <c r="F14" s="42"/>
      <c r="G14" s="22"/>
      <c r="H14" s="43"/>
      <c r="I14" s="43"/>
      <c r="J14" s="22"/>
      <c r="K14" s="22"/>
      <c r="L14" s="22"/>
      <c r="M14" s="22"/>
      <c r="N14" s="45"/>
    </row>
    <row r="15" spans="1:14" x14ac:dyDescent="0.45">
      <c r="A15" s="5"/>
      <c r="B15" s="22"/>
      <c r="C15" s="42"/>
      <c r="D15" s="42"/>
      <c r="E15" s="42"/>
      <c r="F15" s="42"/>
      <c r="G15" s="22"/>
      <c r="H15" s="43"/>
      <c r="I15" s="43"/>
      <c r="J15" s="22"/>
      <c r="K15" s="22"/>
      <c r="L15" s="22"/>
      <c r="M15" s="22"/>
      <c r="N15" s="45"/>
    </row>
    <row r="16" spans="1:14" x14ac:dyDescent="0.45">
      <c r="A16" s="5"/>
      <c r="B16" s="22"/>
      <c r="C16" s="42"/>
      <c r="D16" s="42"/>
      <c r="E16" s="42"/>
      <c r="F16" s="42"/>
      <c r="G16" s="22"/>
      <c r="H16" s="43"/>
      <c r="I16" s="43"/>
      <c r="J16" s="22"/>
      <c r="K16" s="22"/>
      <c r="L16" s="22"/>
      <c r="M16" s="22"/>
      <c r="N16" s="45"/>
    </row>
    <row r="17" spans="1:14" x14ac:dyDescent="0.45">
      <c r="A17" s="5"/>
      <c r="B17" s="22"/>
      <c r="C17" s="42"/>
      <c r="D17" s="42"/>
      <c r="E17" s="42"/>
      <c r="F17" s="42"/>
      <c r="G17" s="22"/>
      <c r="H17" s="43"/>
      <c r="I17" s="43"/>
      <c r="J17" s="22"/>
      <c r="K17" s="22"/>
      <c r="L17" s="22"/>
      <c r="M17" s="22"/>
      <c r="N17" s="45"/>
    </row>
    <row r="18" spans="1:14" x14ac:dyDescent="0.45">
      <c r="A18" s="5"/>
      <c r="B18" s="22"/>
      <c r="C18" s="42"/>
      <c r="D18" s="42"/>
      <c r="E18" s="42"/>
      <c r="F18" s="42"/>
      <c r="G18" s="22"/>
      <c r="H18" s="43"/>
      <c r="I18" s="43"/>
      <c r="J18" s="22"/>
      <c r="K18" s="22"/>
      <c r="L18" s="22"/>
      <c r="M18" s="22"/>
      <c r="N18" s="45"/>
    </row>
    <row r="19" spans="1:14" x14ac:dyDescent="0.45">
      <c r="A19" s="5"/>
      <c r="B19" s="22"/>
      <c r="C19" s="42"/>
      <c r="D19" s="42"/>
      <c r="E19" s="42"/>
      <c r="F19" s="42"/>
      <c r="G19" s="22"/>
      <c r="H19" s="43"/>
      <c r="I19" s="43"/>
      <c r="J19" s="22"/>
      <c r="K19" s="22"/>
      <c r="L19" s="22"/>
      <c r="M19" s="22"/>
      <c r="N19" s="45"/>
    </row>
    <row r="20" spans="1:14" x14ac:dyDescent="0.45">
      <c r="A20" s="5"/>
      <c r="B20" s="22"/>
      <c r="C20" s="42"/>
      <c r="D20" s="42"/>
      <c r="E20" s="42"/>
      <c r="F20" s="42"/>
      <c r="G20" s="22"/>
      <c r="H20" s="43"/>
      <c r="I20" s="43"/>
      <c r="J20" s="22"/>
      <c r="K20" s="22"/>
      <c r="L20" s="22"/>
      <c r="M20" s="22"/>
      <c r="N20" s="45"/>
    </row>
    <row r="21" spans="1:14" x14ac:dyDescent="0.45">
      <c r="A21" s="5"/>
      <c r="B21" s="22"/>
      <c r="C21" s="42"/>
      <c r="D21" s="42"/>
      <c r="E21" s="42"/>
      <c r="F21" s="42"/>
      <c r="G21" s="22"/>
      <c r="H21" s="43"/>
      <c r="I21" s="43"/>
      <c r="J21" s="22"/>
      <c r="K21" s="22"/>
      <c r="L21" s="22"/>
      <c r="M21" s="22"/>
      <c r="N21" s="45"/>
    </row>
    <row r="22" spans="1:14" x14ac:dyDescent="0.45">
      <c r="A22" s="5"/>
      <c r="B22" s="22"/>
      <c r="C22" s="42"/>
      <c r="D22" s="42"/>
      <c r="E22" s="42"/>
      <c r="F22" s="42"/>
      <c r="G22" s="22"/>
      <c r="H22" s="43"/>
      <c r="I22" s="43"/>
      <c r="J22" s="22"/>
      <c r="K22" s="22"/>
      <c r="L22" s="22"/>
      <c r="M22" s="22"/>
      <c r="N22" s="45"/>
    </row>
    <row r="23" spans="1:14" x14ac:dyDescent="0.45">
      <c r="A23" s="5"/>
      <c r="B23" s="22"/>
      <c r="C23" s="42"/>
      <c r="D23" s="42"/>
      <c r="E23" s="42"/>
      <c r="F23" s="42"/>
      <c r="G23" s="22"/>
      <c r="H23" s="43"/>
      <c r="I23" s="43"/>
      <c r="J23" s="22"/>
      <c r="K23" s="22"/>
      <c r="L23" s="22"/>
      <c r="M23" s="22"/>
      <c r="N23" s="45"/>
    </row>
    <row r="24" spans="1:14" x14ac:dyDescent="0.45">
      <c r="A24" s="5"/>
      <c r="B24" s="22"/>
      <c r="C24" s="42"/>
      <c r="D24" s="42"/>
      <c r="E24" s="42"/>
      <c r="F24" s="42"/>
      <c r="G24" s="22"/>
      <c r="H24" s="43"/>
      <c r="I24" s="43"/>
      <c r="J24" s="22"/>
      <c r="K24" s="22"/>
      <c r="L24" s="22"/>
      <c r="M24" s="22"/>
      <c r="N24" s="45"/>
    </row>
    <row r="25" spans="1:14" x14ac:dyDescent="0.45">
      <c r="A25" s="5"/>
      <c r="B25" s="22"/>
      <c r="C25" s="42"/>
      <c r="D25" s="42"/>
      <c r="E25" s="42"/>
      <c r="F25" s="42"/>
      <c r="G25" s="22"/>
      <c r="H25" s="43"/>
      <c r="I25" s="43"/>
      <c r="J25" s="22"/>
      <c r="K25" s="22"/>
      <c r="L25" s="22"/>
      <c r="M25" s="22"/>
      <c r="N25" s="45"/>
    </row>
    <row r="26" spans="1:14" x14ac:dyDescent="0.45">
      <c r="A26" s="5"/>
      <c r="B26" s="22"/>
      <c r="C26" s="42"/>
      <c r="D26" s="42"/>
      <c r="E26" s="42"/>
      <c r="F26" s="42"/>
      <c r="G26" s="22"/>
      <c r="H26" s="43"/>
      <c r="I26" s="43"/>
      <c r="J26" s="22"/>
      <c r="K26" s="22"/>
      <c r="L26" s="22"/>
      <c r="M26" s="22"/>
      <c r="N26" s="45"/>
    </row>
    <row r="27" spans="1:14" x14ac:dyDescent="0.45">
      <c r="A27" s="5"/>
      <c r="B27" s="22"/>
      <c r="C27" s="42"/>
      <c r="D27" s="42"/>
      <c r="E27" s="42"/>
      <c r="F27" s="42"/>
      <c r="G27" s="22"/>
      <c r="H27" s="43"/>
      <c r="I27" s="43"/>
      <c r="J27" s="22"/>
      <c r="K27" s="22"/>
      <c r="L27" s="22"/>
      <c r="M27" s="22"/>
      <c r="N27" s="45"/>
    </row>
    <row r="28" spans="1:14" x14ac:dyDescent="0.45">
      <c r="A28" s="5"/>
      <c r="B28" s="22"/>
      <c r="C28" s="42"/>
      <c r="D28" s="42"/>
      <c r="E28" s="42"/>
      <c r="F28" s="42"/>
      <c r="G28" s="22"/>
      <c r="H28" s="43"/>
      <c r="I28" s="43"/>
      <c r="J28" s="22"/>
      <c r="K28" s="22"/>
      <c r="L28" s="22"/>
      <c r="M28" s="22"/>
      <c r="N28" s="45"/>
    </row>
    <row r="29" spans="1:14" x14ac:dyDescent="0.45">
      <c r="A29" s="5"/>
      <c r="B29" s="22"/>
      <c r="C29" s="42"/>
      <c r="D29" s="42"/>
      <c r="E29" s="42"/>
      <c r="F29" s="42"/>
      <c r="G29" s="22"/>
      <c r="H29" s="43"/>
      <c r="I29" s="43"/>
      <c r="J29" s="22"/>
      <c r="K29" s="22"/>
      <c r="L29" s="22"/>
      <c r="M29" s="22"/>
      <c r="N29" s="45"/>
    </row>
    <row r="30" spans="1:14" x14ac:dyDescent="0.45">
      <c r="A30" s="5"/>
      <c r="B30" s="22"/>
      <c r="C30" s="42"/>
      <c r="D30" s="42"/>
      <c r="E30" s="42"/>
      <c r="F30" s="42"/>
      <c r="G30" s="22"/>
      <c r="H30" s="43"/>
      <c r="I30" s="43"/>
      <c r="J30" s="22"/>
      <c r="K30" s="22"/>
      <c r="L30" s="22"/>
      <c r="M30" s="22"/>
      <c r="N30" s="45"/>
    </row>
    <row r="31" spans="1:14" x14ac:dyDescent="0.45">
      <c r="A31" s="5"/>
      <c r="B31" s="22"/>
      <c r="C31" s="42"/>
      <c r="D31" s="42"/>
      <c r="E31" s="42"/>
      <c r="F31" s="42"/>
      <c r="G31" s="22"/>
      <c r="H31" s="43"/>
      <c r="I31" s="43"/>
      <c r="J31" s="22"/>
      <c r="K31" s="22"/>
      <c r="L31" s="22"/>
      <c r="M31" s="22"/>
      <c r="N31" s="45"/>
    </row>
    <row r="32" spans="1:14" x14ac:dyDescent="0.45">
      <c r="A32" s="5"/>
      <c r="B32" s="22"/>
      <c r="C32" s="42"/>
      <c r="D32" s="42"/>
      <c r="E32" s="42"/>
      <c r="F32" s="42"/>
      <c r="G32" s="22"/>
      <c r="H32" s="43"/>
      <c r="I32" s="43"/>
      <c r="J32" s="22"/>
      <c r="K32" s="22"/>
      <c r="L32" s="22"/>
      <c r="M32" s="22"/>
      <c r="N32" s="45"/>
    </row>
    <row r="33" spans="1:14" x14ac:dyDescent="0.45">
      <c r="A33" s="5"/>
      <c r="B33" s="22"/>
      <c r="C33" s="42"/>
      <c r="D33" s="42"/>
      <c r="E33" s="42"/>
      <c r="F33" s="42"/>
      <c r="G33" s="22"/>
      <c r="H33" s="43"/>
      <c r="I33" s="43"/>
      <c r="J33" s="22"/>
      <c r="K33" s="22"/>
      <c r="L33" s="22"/>
      <c r="M33" s="22"/>
      <c r="N33" s="45"/>
    </row>
    <row r="34" spans="1:14" x14ac:dyDescent="0.45">
      <c r="A34" s="5"/>
      <c r="B34" s="22"/>
      <c r="C34" s="42"/>
      <c r="D34" s="42"/>
      <c r="E34" s="42"/>
      <c r="F34" s="42"/>
      <c r="G34" s="22"/>
      <c r="H34" s="43"/>
      <c r="I34" s="43"/>
      <c r="J34" s="22"/>
      <c r="K34" s="22"/>
      <c r="L34" s="22"/>
      <c r="M34" s="22"/>
      <c r="N34" s="45"/>
    </row>
    <row r="35" spans="1:14" x14ac:dyDescent="0.45">
      <c r="A35" s="5"/>
      <c r="B35" s="22"/>
      <c r="C35" s="42"/>
      <c r="D35" s="42"/>
      <c r="E35" s="42"/>
      <c r="F35" s="42"/>
      <c r="G35" s="22"/>
      <c r="H35" s="43"/>
      <c r="I35" s="43"/>
      <c r="J35" s="22"/>
      <c r="K35" s="22"/>
      <c r="L35" s="22"/>
      <c r="M35" s="22"/>
      <c r="N35" s="45"/>
    </row>
    <row r="36" spans="1:14" x14ac:dyDescent="0.45">
      <c r="A36" s="5"/>
      <c r="B36" s="22"/>
      <c r="C36" s="42"/>
      <c r="D36" s="42"/>
      <c r="E36" s="42"/>
      <c r="F36" s="42"/>
      <c r="G36" s="22"/>
      <c r="H36" s="43"/>
      <c r="I36" s="43"/>
      <c r="J36" s="22"/>
      <c r="K36" s="22"/>
      <c r="L36" s="22"/>
      <c r="M36" s="22"/>
      <c r="N36" s="45"/>
    </row>
    <row r="37" spans="1:14" x14ac:dyDescent="0.45">
      <c r="A37" s="5"/>
      <c r="B37" s="22"/>
      <c r="C37" s="42"/>
      <c r="D37" s="42"/>
      <c r="E37" s="42"/>
      <c r="F37" s="42"/>
      <c r="G37" s="22"/>
      <c r="H37" s="43"/>
      <c r="I37" s="43"/>
      <c r="J37" s="22"/>
      <c r="K37" s="22"/>
      <c r="L37" s="22"/>
      <c r="M37" s="22"/>
      <c r="N37" s="45"/>
    </row>
    <row r="38" spans="1:14" x14ac:dyDescent="0.45">
      <c r="A38" s="5"/>
      <c r="B38" s="22"/>
      <c r="C38" s="42"/>
      <c r="D38" s="42"/>
      <c r="E38" s="42"/>
      <c r="F38" s="42"/>
      <c r="G38" s="22"/>
      <c r="H38" s="43"/>
      <c r="I38" s="43"/>
      <c r="J38" s="22"/>
      <c r="K38" s="22"/>
      <c r="L38" s="22"/>
      <c r="M38" s="22"/>
      <c r="N38" s="45"/>
    </row>
    <row r="39" spans="1:14" x14ac:dyDescent="0.45">
      <c r="A39" s="5"/>
      <c r="B39" s="22"/>
      <c r="C39" s="42"/>
      <c r="D39" s="42"/>
      <c r="E39" s="42"/>
      <c r="F39" s="42"/>
      <c r="G39" s="22"/>
      <c r="H39" s="43"/>
      <c r="I39" s="43"/>
      <c r="J39" s="22"/>
      <c r="K39" s="22"/>
      <c r="L39" s="22"/>
      <c r="M39" s="22"/>
      <c r="N39" s="45"/>
    </row>
    <row r="40" spans="1:14" x14ac:dyDescent="0.45">
      <c r="A40" s="5"/>
      <c r="B40" s="22"/>
      <c r="C40" s="42"/>
      <c r="D40" s="42"/>
      <c r="E40" s="42"/>
      <c r="F40" s="42"/>
      <c r="G40" s="22"/>
      <c r="H40" s="43"/>
      <c r="I40" s="43"/>
      <c r="J40" s="22"/>
      <c r="K40" s="22"/>
      <c r="L40" s="22"/>
      <c r="M40" s="22"/>
      <c r="N40" s="45"/>
    </row>
    <row r="41" spans="1:14" x14ac:dyDescent="0.45">
      <c r="A41" s="5"/>
      <c r="B41" s="22"/>
      <c r="C41" s="42"/>
      <c r="D41" s="42"/>
      <c r="E41" s="42"/>
      <c r="F41" s="42"/>
      <c r="G41" s="22"/>
      <c r="H41" s="43"/>
      <c r="I41" s="43"/>
      <c r="J41" s="22"/>
      <c r="K41" s="22"/>
      <c r="L41" s="22"/>
      <c r="M41" s="22"/>
      <c r="N41" s="45"/>
    </row>
    <row r="42" spans="1:14" x14ac:dyDescent="0.45">
      <c r="A42" s="5"/>
      <c r="B42" s="22"/>
      <c r="C42" s="42"/>
      <c r="D42" s="42"/>
      <c r="E42" s="42"/>
      <c r="F42" s="42"/>
      <c r="G42" s="22"/>
      <c r="H42" s="43"/>
      <c r="I42" s="43"/>
      <c r="J42" s="22"/>
      <c r="K42" s="22"/>
      <c r="L42" s="22"/>
      <c r="M42" s="22"/>
      <c r="N42" s="45"/>
    </row>
    <row r="43" spans="1:14" x14ac:dyDescent="0.45">
      <c r="A43" s="26"/>
      <c r="B43" s="47"/>
      <c r="C43" s="48"/>
      <c r="D43" s="48"/>
      <c r="E43" s="48"/>
      <c r="F43" s="48"/>
      <c r="G43" s="47"/>
      <c r="H43" s="49"/>
      <c r="I43" s="49"/>
      <c r="J43" s="47"/>
      <c r="K43" s="47"/>
      <c r="L43" s="47"/>
      <c r="M43" s="47"/>
      <c r="N43" s="50"/>
    </row>
  </sheetData>
  <phoneticPr fontId="3" type="noConversion"/>
  <pageMargins left="0.5" right="0.5" top="1" bottom="0.75" header="0.3" footer="0.3"/>
  <pageSetup paperSize="5" scale="61" orientation="landscape" horizontalDpi="1200" verticalDpi="1200" r:id="rId1"/>
  <headerFooter>
    <oddHeader>&amp;LUnit Tract 7 Mineral Title&amp;C&amp;"-,Bold"&amp;14Arcadia Operating, LLC - Dr. Elmore #1  Unit Division Order Title Opinion Runsheet
276.12 acres, Thomas Webb Survey, A-300, San Jacinto County Texas
Magnolia Petroleum Company, LLC</oddHead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695B-19EE-454A-94D9-3B95E12F400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Document List</vt:lpstr>
      <vt:lpstr>Leasehold</vt:lpstr>
      <vt:lpstr>NPR 1-Title-Tr.2,3,5&amp;6</vt:lpstr>
      <vt:lpstr>NPR 2-Title-Tr.4&amp;7</vt:lpstr>
      <vt:lpstr>MI-Title-Tr.1-(6)-55.5016 ac.</vt:lpstr>
      <vt:lpstr>Title-Tr.2-(1)-106.19 ac.</vt:lpstr>
      <vt:lpstr>Title-Tr.3-(5)-28.223 ac.</vt:lpstr>
      <vt:lpstr>Title-Tr.4-(3)-14.64 ac.</vt:lpstr>
      <vt:lpstr>Title-Tr.5-(4)-8.44 ac.</vt:lpstr>
      <vt:lpstr>Title-Tr.6-(2)-42.581 ac.</vt:lpstr>
      <vt:lpstr>Title-Tr.7-(7)-20.546 ac.</vt:lpstr>
      <vt:lpstr>Sheet1</vt:lpstr>
      <vt:lpstr>Leasehold!Print_Area</vt:lpstr>
      <vt:lpstr>'MI-Title-Tr.1-(6)-55.5016 ac.'!Print_Area</vt:lpstr>
      <vt:lpstr>'NPR 1-Title-Tr.2,3,5&amp;6'!Print_Area</vt:lpstr>
      <vt:lpstr>'NPR 2-Title-Tr.4&amp;7'!Print_Area</vt:lpstr>
      <vt:lpstr>'Title-Tr.2-(1)-106.19 ac.'!Print_Area</vt:lpstr>
      <vt:lpstr>'Title-Tr.3-(5)-28.223 ac.'!Print_Area</vt:lpstr>
      <vt:lpstr>'Title-Tr.4-(3)-14.64 ac.'!Print_Area</vt:lpstr>
      <vt:lpstr>'Title-Tr.5-(4)-8.44 ac.'!Print_Area</vt:lpstr>
      <vt:lpstr>'Title-Tr.6-(2)-42.581 ac.'!Print_Area</vt:lpstr>
      <vt:lpstr>'Title-Tr.7-(7)-20.546 ac.'!Print_Area</vt:lpstr>
      <vt:lpstr>Leasehold!Print_Titles</vt:lpstr>
      <vt:lpstr>'NPR 1-Title-Tr.2,3,5&amp;6'!Print_Titles</vt:lpstr>
      <vt:lpstr>'Title-Tr.2-(1)-106.19 ac.'!Print_Titles</vt:lpstr>
      <vt:lpstr>'Title-Tr.3-(5)-28.223 ac.'!Print_Titles</vt:lpstr>
      <vt:lpstr>'Title-Tr.5-(4)-8.44 ac.'!Print_Titles</vt:lpstr>
      <vt:lpstr>'Title-Tr.6-(2)-42.581 ac.'!Print_Titles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Hestley</dc:creator>
  <cp:lastModifiedBy>Richard Hestley</cp:lastModifiedBy>
  <cp:lastPrinted>2026-02-17T21:17:33Z</cp:lastPrinted>
  <dcterms:created xsi:type="dcterms:W3CDTF">2026-01-13T21:05:09Z</dcterms:created>
  <dcterms:modified xsi:type="dcterms:W3CDTF">2026-02-17T21:18:58Z</dcterms:modified>
</cp:coreProperties>
</file>