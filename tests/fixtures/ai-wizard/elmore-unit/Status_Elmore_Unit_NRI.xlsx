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estl\Dropbox\PLC\Active Clients\Genesis\Arcadia\Springhill (Flores) - Working\1-Springhill_Elmore\3-276.12_ac_Dr_ElmoreNo1_Unit\"/>
    </mc:Choice>
  </mc:AlternateContent>
  <xr:revisionPtr revIDLastSave="0" documentId="13_ncr:1_{D1339779-91BC-48E5-B181-E7D198EB8010}" xr6:coauthVersionLast="47" xr6:coauthVersionMax="47" xr10:uidLastSave="{00000000-0000-0000-0000-000000000000}"/>
  <bookViews>
    <workbookView xWindow="2633" yWindow="690" windowWidth="25410" windowHeight="14790" activeTab="1" xr2:uid="{82D5FA9E-A55D-46AD-81E6-1FD827721E75}"/>
  </bookViews>
  <sheets>
    <sheet name="Sheet1" sheetId="1" r:id="rId1"/>
    <sheet name="LseStatus-NRI" sheetId="2" r:id="rId2"/>
    <sheet name="NPR 1" sheetId="3" r:id="rId3"/>
  </sheets>
  <definedNames>
    <definedName name="_xlnm.Print_Titles" localSheetId="1">'LseStatus-NRI'!$1:$1</definedName>
    <definedName name="_xlnm.Print_Titles" localSheetId="2">'NPR 1'!$1:$1</definedName>
    <definedName name="_xlnm.Print_Titles" localSheetId="0">Sheet1!$1:$1</definedName>
    <definedName name="Statu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1" i="2" l="1"/>
  <c r="AD11" i="2"/>
  <c r="AB46" i="2"/>
  <c r="W39" i="3"/>
  <c r="V39" i="3"/>
  <c r="W31" i="3"/>
  <c r="W32" i="3"/>
  <c r="W33" i="3"/>
  <c r="W34" i="3"/>
  <c r="W35" i="3"/>
  <c r="W36" i="3"/>
  <c r="W37" i="3"/>
  <c r="Q29" i="3"/>
  <c r="N29" i="3"/>
  <c r="H29" i="3"/>
  <c r="T39" i="3"/>
  <c r="K39" i="3"/>
  <c r="V37" i="3"/>
  <c r="M37" i="3"/>
  <c r="V36" i="3"/>
  <c r="M36" i="3"/>
  <c r="V35" i="3"/>
  <c r="M35" i="3"/>
  <c r="V34" i="3"/>
  <c r="M34" i="3"/>
  <c r="V33" i="3"/>
  <c r="M33" i="3"/>
  <c r="V32" i="3"/>
  <c r="M32" i="3"/>
  <c r="V31" i="3"/>
  <c r="M31" i="3"/>
  <c r="E29" i="3"/>
  <c r="S28" i="3"/>
  <c r="P28" i="3"/>
  <c r="J28" i="3"/>
  <c r="G28" i="3"/>
  <c r="W28" i="3" s="1"/>
  <c r="X28" i="3" s="1"/>
  <c r="S27" i="3"/>
  <c r="P27" i="3"/>
  <c r="J27" i="3"/>
  <c r="G27" i="3"/>
  <c r="W27" i="3" s="1"/>
  <c r="X27" i="3" s="1"/>
  <c r="S26" i="3"/>
  <c r="P26" i="3"/>
  <c r="J26" i="3"/>
  <c r="G26" i="3"/>
  <c r="W26" i="3" s="1"/>
  <c r="X26" i="3" s="1"/>
  <c r="S25" i="3"/>
  <c r="P25" i="3"/>
  <c r="J25" i="3"/>
  <c r="G25" i="3"/>
  <c r="W25" i="3" s="1"/>
  <c r="X25" i="3" s="1"/>
  <c r="S24" i="3"/>
  <c r="P24" i="3"/>
  <c r="J24" i="3"/>
  <c r="G24" i="3"/>
  <c r="W24" i="3" s="1"/>
  <c r="X24" i="3" s="1"/>
  <c r="S23" i="3"/>
  <c r="P23" i="3"/>
  <c r="J23" i="3"/>
  <c r="G23" i="3"/>
  <c r="W23" i="3" s="1"/>
  <c r="X23" i="3" s="1"/>
  <c r="S22" i="3"/>
  <c r="P22" i="3"/>
  <c r="W22" i="3" s="1"/>
  <c r="X22" i="3" s="1"/>
  <c r="J22" i="3"/>
  <c r="G22" i="3"/>
  <c r="S21" i="3"/>
  <c r="P21" i="3"/>
  <c r="J21" i="3"/>
  <c r="G21" i="3"/>
  <c r="W21" i="3" s="1"/>
  <c r="X21" i="3" s="1"/>
  <c r="S20" i="3"/>
  <c r="P20" i="3"/>
  <c r="J20" i="3"/>
  <c r="G20" i="3"/>
  <c r="W20" i="3" s="1"/>
  <c r="X20" i="3" s="1"/>
  <c r="S19" i="3"/>
  <c r="P19" i="3"/>
  <c r="J19" i="3"/>
  <c r="G19" i="3"/>
  <c r="W19" i="3" s="1"/>
  <c r="X19" i="3" s="1"/>
  <c r="S18" i="3"/>
  <c r="P18" i="3"/>
  <c r="J18" i="3"/>
  <c r="G18" i="3"/>
  <c r="W18" i="3" s="1"/>
  <c r="X18" i="3" s="1"/>
  <c r="S17" i="3"/>
  <c r="P17" i="3"/>
  <c r="J17" i="3"/>
  <c r="G17" i="3"/>
  <c r="W17" i="3" s="1"/>
  <c r="X17" i="3" s="1"/>
  <c r="S16" i="3"/>
  <c r="P16" i="3"/>
  <c r="J16" i="3"/>
  <c r="G16" i="3"/>
  <c r="W16" i="3" s="1"/>
  <c r="X16" i="3" s="1"/>
  <c r="S15" i="3"/>
  <c r="P15" i="3"/>
  <c r="J15" i="3"/>
  <c r="G15" i="3"/>
  <c r="W15" i="3" s="1"/>
  <c r="X15" i="3" s="1"/>
  <c r="S14" i="3"/>
  <c r="P14" i="3"/>
  <c r="J14" i="3"/>
  <c r="G14" i="3"/>
  <c r="W14" i="3" s="1"/>
  <c r="X14" i="3" s="1"/>
  <c r="S13" i="3"/>
  <c r="P13" i="3"/>
  <c r="J13" i="3"/>
  <c r="G13" i="3"/>
  <c r="W13" i="3" s="1"/>
  <c r="X13" i="3" s="1"/>
  <c r="S12" i="3"/>
  <c r="P12" i="3"/>
  <c r="J12" i="3"/>
  <c r="G12" i="3"/>
  <c r="W12" i="3" s="1"/>
  <c r="X12" i="3" s="1"/>
  <c r="S11" i="3"/>
  <c r="P11" i="3"/>
  <c r="J11" i="3"/>
  <c r="G11" i="3"/>
  <c r="W11" i="3" s="1"/>
  <c r="X11" i="3" s="1"/>
  <c r="S10" i="3"/>
  <c r="P10" i="3"/>
  <c r="J10" i="3"/>
  <c r="G10" i="3"/>
  <c r="W10" i="3" s="1"/>
  <c r="X10" i="3" s="1"/>
  <c r="S9" i="3"/>
  <c r="P9" i="3"/>
  <c r="J9" i="3"/>
  <c r="G9" i="3"/>
  <c r="W9" i="3" s="1"/>
  <c r="X9" i="3" s="1"/>
  <c r="S8" i="3"/>
  <c r="P8" i="3"/>
  <c r="J8" i="3"/>
  <c r="G8" i="3"/>
  <c r="W8" i="3" s="1"/>
  <c r="X8" i="3" s="1"/>
  <c r="W7" i="3"/>
  <c r="X7" i="3" s="1"/>
  <c r="S7" i="3"/>
  <c r="P7" i="3"/>
  <c r="J7" i="3"/>
  <c r="G7" i="3"/>
  <c r="S6" i="3"/>
  <c r="P6" i="3"/>
  <c r="J6" i="3"/>
  <c r="G6" i="3"/>
  <c r="W6" i="3" s="1"/>
  <c r="X6" i="3" s="1"/>
  <c r="S5" i="3"/>
  <c r="P5" i="3"/>
  <c r="J5" i="3"/>
  <c r="G5" i="3"/>
  <c r="W5" i="3" s="1"/>
  <c r="X5" i="3" s="1"/>
  <c r="S4" i="3"/>
  <c r="P4" i="3"/>
  <c r="J4" i="3"/>
  <c r="G4" i="3"/>
  <c r="W4" i="3" s="1"/>
  <c r="X4" i="3" s="1"/>
  <c r="S3" i="3"/>
  <c r="P3" i="3"/>
  <c r="G3" i="3"/>
  <c r="AA5" i="2"/>
  <c r="AA4" i="2"/>
  <c r="AA3" i="2"/>
  <c r="AB2" i="2"/>
  <c r="AA45" i="2"/>
  <c r="B46" i="2"/>
  <c r="T46" i="2"/>
  <c r="AD46" i="2"/>
  <c r="M39" i="3" l="1"/>
  <c r="AB13" i="2"/>
  <c r="AB14" i="2"/>
  <c r="AB15" i="2"/>
  <c r="AB16" i="2"/>
  <c r="AB17" i="2"/>
  <c r="AB18" i="2"/>
  <c r="AB9" i="2"/>
  <c r="AB10" i="2"/>
  <c r="AB11" i="2"/>
  <c r="AB12" i="2"/>
  <c r="H3" i="2"/>
  <c r="J3" i="2" s="1"/>
  <c r="E3" i="2"/>
  <c r="X46" i="2"/>
  <c r="K46" i="2"/>
  <c r="G44" i="2"/>
  <c r="W44" i="2" s="1"/>
  <c r="Z44" i="2" s="1"/>
  <c r="G43" i="2"/>
  <c r="W43" i="2" s="1"/>
  <c r="Z43" i="2" s="1"/>
  <c r="G42" i="2"/>
  <c r="W42" i="2" s="1"/>
  <c r="Z42" i="2" s="1"/>
  <c r="G41" i="2"/>
  <c r="W41" i="2" s="1"/>
  <c r="Z41" i="2" s="1"/>
  <c r="G40" i="2"/>
  <c r="W40" i="2" s="1"/>
  <c r="Z40" i="2" s="1"/>
  <c r="G39" i="2"/>
  <c r="W39" i="2" s="1"/>
  <c r="Z39" i="2" s="1"/>
  <c r="G38" i="2"/>
  <c r="W38" i="2" s="1"/>
  <c r="Z38" i="2" s="1"/>
  <c r="Y37" i="2"/>
  <c r="G37" i="2"/>
  <c r="W37" i="2" s="1"/>
  <c r="J35" i="2"/>
  <c r="W35" i="2" s="1"/>
  <c r="Z35" i="2" s="1"/>
  <c r="J34" i="2"/>
  <c r="W34" i="2" s="1"/>
  <c r="Z34" i="2" s="1"/>
  <c r="J33" i="2"/>
  <c r="W33" i="2" s="1"/>
  <c r="Z33" i="2" s="1"/>
  <c r="W32" i="2"/>
  <c r="Z32" i="2" s="1"/>
  <c r="V31" i="2"/>
  <c r="W31" i="2" s="1"/>
  <c r="Z31" i="2" s="1"/>
  <c r="P30" i="2"/>
  <c r="M30" i="2"/>
  <c r="P29" i="2"/>
  <c r="J29" i="2"/>
  <c r="G29" i="2"/>
  <c r="W29" i="2" s="1"/>
  <c r="Z29" i="2" s="1"/>
  <c r="P28" i="2"/>
  <c r="J28" i="2"/>
  <c r="G28" i="2"/>
  <c r="P27" i="2"/>
  <c r="J27" i="2"/>
  <c r="G27" i="2"/>
  <c r="W27" i="2" s="1"/>
  <c r="Z27" i="2" s="1"/>
  <c r="P26" i="2"/>
  <c r="J26" i="2"/>
  <c r="G26" i="2"/>
  <c r="S25" i="2"/>
  <c r="P25" i="2"/>
  <c r="J25" i="2"/>
  <c r="S24" i="2"/>
  <c r="P24" i="2"/>
  <c r="J24" i="2"/>
  <c r="S23" i="2"/>
  <c r="W23" i="2" s="1"/>
  <c r="Z23" i="2" s="1"/>
  <c r="S22" i="2"/>
  <c r="P22" i="2"/>
  <c r="J22" i="2"/>
  <c r="G22" i="2"/>
  <c r="S21" i="2"/>
  <c r="P21" i="2"/>
  <c r="J21" i="2"/>
  <c r="G21" i="2"/>
  <c r="S20" i="2"/>
  <c r="P20" i="2"/>
  <c r="J20" i="2"/>
  <c r="G20" i="2"/>
  <c r="W20" i="2" s="1"/>
  <c r="Z20" i="2" s="1"/>
  <c r="S19" i="2"/>
  <c r="P19" i="2"/>
  <c r="J19" i="2"/>
  <c r="G19" i="2"/>
  <c r="S18" i="2"/>
  <c r="P18" i="2"/>
  <c r="J18" i="2"/>
  <c r="G18" i="2"/>
  <c r="S17" i="2"/>
  <c r="P17" i="2"/>
  <c r="J17" i="2"/>
  <c r="G17" i="2"/>
  <c r="S16" i="2"/>
  <c r="P16" i="2"/>
  <c r="J16" i="2"/>
  <c r="G16" i="2"/>
  <c r="S15" i="2"/>
  <c r="P15" i="2"/>
  <c r="J15" i="2"/>
  <c r="G15" i="2"/>
  <c r="S14" i="2"/>
  <c r="P14" i="2"/>
  <c r="J14" i="2"/>
  <c r="G14" i="2"/>
  <c r="S13" i="2"/>
  <c r="P13" i="2"/>
  <c r="J13" i="2"/>
  <c r="G13" i="2"/>
  <c r="S12" i="2"/>
  <c r="P12" i="2"/>
  <c r="J12" i="2"/>
  <c r="G12" i="2"/>
  <c r="S11" i="2"/>
  <c r="P11" i="2"/>
  <c r="J11" i="2"/>
  <c r="G11" i="2"/>
  <c r="S10" i="2"/>
  <c r="P10" i="2"/>
  <c r="J10" i="2"/>
  <c r="G10" i="2"/>
  <c r="S9" i="2"/>
  <c r="P9" i="2"/>
  <c r="J9" i="2"/>
  <c r="G9" i="2"/>
  <c r="S8" i="2"/>
  <c r="J8" i="2"/>
  <c r="G8" i="2"/>
  <c r="W8" i="2" s="1"/>
  <c r="Z8" i="2" s="1"/>
  <c r="D7" i="2"/>
  <c r="W7" i="2" s="1"/>
  <c r="Z7" i="2" s="1"/>
  <c r="D6" i="2"/>
  <c r="W6" i="2" s="1"/>
  <c r="Z6" i="2" s="1"/>
  <c r="Q5" i="2"/>
  <c r="S5" i="2" s="1"/>
  <c r="N5" i="2"/>
  <c r="P5" i="2" s="1"/>
  <c r="H5" i="2"/>
  <c r="J5" i="2" s="1"/>
  <c r="E5" i="2"/>
  <c r="G5" i="2" s="1"/>
  <c r="Q4" i="2"/>
  <c r="S4" i="2" s="1"/>
  <c r="N4" i="2"/>
  <c r="P4" i="2" s="1"/>
  <c r="H4" i="2"/>
  <c r="E4" i="2"/>
  <c r="G4" i="2" s="1"/>
  <c r="Q3" i="2"/>
  <c r="N3" i="2"/>
  <c r="V2" i="2"/>
  <c r="S2" i="2"/>
  <c r="P2" i="2"/>
  <c r="M2" i="2"/>
  <c r="M46" i="2" s="1"/>
  <c r="J2" i="2"/>
  <c r="G2" i="2"/>
  <c r="D2" i="2"/>
  <c r="Z18" i="1"/>
  <c r="Z17" i="1"/>
  <c r="Z16" i="1"/>
  <c r="Z15" i="1"/>
  <c r="Z14" i="1"/>
  <c r="Z13" i="1"/>
  <c r="Z12" i="1"/>
  <c r="Z11" i="1"/>
  <c r="Z10" i="1"/>
  <c r="Z9" i="1"/>
  <c r="H39" i="1"/>
  <c r="H40" i="1"/>
  <c r="H41" i="1"/>
  <c r="H42" i="1"/>
  <c r="H43" i="1"/>
  <c r="H44" i="1"/>
  <c r="H38" i="1"/>
  <c r="H37" i="1"/>
  <c r="L35" i="1"/>
  <c r="L34" i="1"/>
  <c r="L33" i="1"/>
  <c r="N9" i="1"/>
  <c r="N10" i="1"/>
  <c r="N11" i="1"/>
  <c r="N12" i="1"/>
  <c r="N13" i="1"/>
  <c r="N14" i="1"/>
  <c r="N15" i="1"/>
  <c r="N16" i="1"/>
  <c r="N17" i="1"/>
  <c r="N18" i="1"/>
  <c r="W30" i="2" l="1"/>
  <c r="Z30" i="2" s="1"/>
  <c r="N46" i="2"/>
  <c r="W19" i="2"/>
  <c r="Z19" i="2" s="1"/>
  <c r="Q46" i="2"/>
  <c r="V46" i="2"/>
  <c r="W24" i="2"/>
  <c r="Z24" i="2" s="1"/>
  <c r="W17" i="2"/>
  <c r="Z17" i="2" s="1"/>
  <c r="W9" i="2"/>
  <c r="Z9" i="2" s="1"/>
  <c r="W26" i="2"/>
  <c r="Z26" i="2" s="1"/>
  <c r="W18" i="2"/>
  <c r="Z18" i="2" s="1"/>
  <c r="W28" i="2"/>
  <c r="Z28" i="2" s="1"/>
  <c r="W10" i="2"/>
  <c r="Z10" i="2" s="1"/>
  <c r="W15" i="2"/>
  <c r="Z15" i="2" s="1"/>
  <c r="D46" i="2"/>
  <c r="W13" i="2"/>
  <c r="Z13" i="2" s="1"/>
  <c r="W25" i="2"/>
  <c r="Z25" i="2" s="1"/>
  <c r="W21" i="2"/>
  <c r="Z21" i="2" s="1"/>
  <c r="W22" i="2"/>
  <c r="Z22" i="2" s="1"/>
  <c r="W11" i="2"/>
  <c r="W5" i="2"/>
  <c r="Z5" i="2" s="1"/>
  <c r="W14" i="2"/>
  <c r="Z14" i="2" s="1"/>
  <c r="W12" i="2"/>
  <c r="Z12" i="2" s="1"/>
  <c r="W16" i="2"/>
  <c r="Z16" i="2" s="1"/>
  <c r="J4" i="2"/>
  <c r="J46" i="2" s="1"/>
  <c r="H46" i="2"/>
  <c r="S3" i="2"/>
  <c r="S46" i="2" s="1"/>
  <c r="P3" i="2"/>
  <c r="P46" i="2" s="1"/>
  <c r="G3" i="2"/>
  <c r="E46" i="2"/>
  <c r="W2" i="2"/>
  <c r="Z2" i="2" s="1"/>
  <c r="Z37" i="2"/>
  <c r="AD4" i="1"/>
  <c r="AI4" i="1" s="1"/>
  <c r="AD5" i="1"/>
  <c r="AI5" i="1" s="1"/>
  <c r="AD3" i="1"/>
  <c r="AI3" i="1" s="1"/>
  <c r="AF37" i="1"/>
  <c r="U5" i="1"/>
  <c r="U4" i="1"/>
  <c r="U3" i="1"/>
  <c r="Q5" i="1"/>
  <c r="Q4" i="1"/>
  <c r="Q3" i="1"/>
  <c r="I5" i="1"/>
  <c r="I4" i="1"/>
  <c r="I3" i="1"/>
  <c r="E5" i="1"/>
  <c r="E4" i="1"/>
  <c r="E3" i="1"/>
  <c r="W3" i="2" l="1"/>
  <c r="Z3" i="2" s="1"/>
  <c r="G46" i="2"/>
  <c r="W4" i="2"/>
  <c r="Z4" i="2" s="1"/>
  <c r="AC44" i="1"/>
  <c r="AG44" i="1" s="1"/>
  <c r="AC43" i="1"/>
  <c r="AG43" i="1" s="1"/>
  <c r="AC42" i="1"/>
  <c r="AG42" i="1" s="1"/>
  <c r="AC40" i="1"/>
  <c r="AG40" i="1" s="1"/>
  <c r="AC41" i="1"/>
  <c r="AG41" i="1" s="1"/>
  <c r="AC39" i="1"/>
  <c r="AG39" i="1" s="1"/>
  <c r="AC38" i="1"/>
  <c r="AG38" i="1" s="1"/>
  <c r="AC37" i="1"/>
  <c r="AG37" i="1" s="1"/>
  <c r="AC34" i="1"/>
  <c r="AG34" i="1" s="1"/>
  <c r="AC35" i="1"/>
  <c r="AG35" i="1" s="1"/>
  <c r="AC33" i="1"/>
  <c r="AG33" i="1" s="1"/>
  <c r="W46" i="2" l="1"/>
  <c r="E45" i="1"/>
  <c r="M45" i="1"/>
  <c r="I45" i="1"/>
  <c r="H29" i="1"/>
  <c r="H28" i="1"/>
  <c r="H27" i="1"/>
  <c r="H26" i="1"/>
  <c r="B45" i="1"/>
  <c r="Q45" i="1"/>
  <c r="U45" i="1"/>
  <c r="AE45" i="1"/>
  <c r="T30" i="1"/>
  <c r="L29" i="1"/>
  <c r="T29" i="1"/>
  <c r="L28" i="1"/>
  <c r="T28" i="1"/>
  <c r="L27" i="1"/>
  <c r="T27" i="1"/>
  <c r="L26" i="1"/>
  <c r="T26" i="1"/>
  <c r="Z46" i="2" l="1"/>
  <c r="AC46" i="2" s="1"/>
  <c r="Y45" i="1"/>
  <c r="AC29" i="1"/>
  <c r="AG29" i="1" s="1"/>
  <c r="AC28" i="1"/>
  <c r="AG28" i="1" s="1"/>
  <c r="AC27" i="1"/>
  <c r="AG27" i="1" s="1"/>
  <c r="AC26" i="1"/>
  <c r="AG26" i="1" s="1"/>
  <c r="P2" i="1"/>
  <c r="D2" i="1"/>
  <c r="X4" i="1" l="1"/>
  <c r="X5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AC23" i="1" s="1"/>
  <c r="AG23" i="1" s="1"/>
  <c r="X24" i="1"/>
  <c r="X25" i="1"/>
  <c r="X3" i="1"/>
  <c r="X2" i="1"/>
  <c r="T2" i="1"/>
  <c r="T3" i="1"/>
  <c r="T4" i="1"/>
  <c r="T5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4" i="1"/>
  <c r="T25" i="1"/>
  <c r="P30" i="1"/>
  <c r="AC30" i="1" s="1"/>
  <c r="AG30" i="1" s="1"/>
  <c r="AB31" i="1"/>
  <c r="AC31" i="1" s="1"/>
  <c r="AG31" i="1" s="1"/>
  <c r="L3" i="1"/>
  <c r="L4" i="1"/>
  <c r="L5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4" i="1"/>
  <c r="L25" i="1"/>
  <c r="L2" i="1"/>
  <c r="H4" i="1"/>
  <c r="H5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AC32" i="1"/>
  <c r="AG32" i="1" s="1"/>
  <c r="AC36" i="1"/>
  <c r="AG36" i="1" s="1"/>
  <c r="H3" i="1"/>
  <c r="H2" i="1"/>
  <c r="D6" i="1"/>
  <c r="AC6" i="1" s="1"/>
  <c r="AG6" i="1" s="1"/>
  <c r="D7" i="1"/>
  <c r="AC7" i="1" s="1"/>
  <c r="AG7" i="1" s="1"/>
  <c r="AD2" i="1" l="1"/>
  <c r="AI2" i="1" s="1"/>
  <c r="H45" i="1"/>
  <c r="D45" i="1"/>
  <c r="P45" i="1"/>
  <c r="L45" i="1"/>
  <c r="X45" i="1"/>
  <c r="T45" i="1"/>
  <c r="AC9" i="1"/>
  <c r="AG9" i="1" s="1"/>
  <c r="AC5" i="1"/>
  <c r="AG5" i="1" s="1"/>
  <c r="AC3" i="1"/>
  <c r="AG3" i="1" s="1"/>
  <c r="AC18" i="1"/>
  <c r="AG18" i="1" s="1"/>
  <c r="AC21" i="1"/>
  <c r="AG21" i="1" s="1"/>
  <c r="AC20" i="1"/>
  <c r="AG20" i="1" s="1"/>
  <c r="AC19" i="1"/>
  <c r="AG19" i="1" s="1"/>
  <c r="AC16" i="1"/>
  <c r="AG16" i="1" s="1"/>
  <c r="AC24" i="1"/>
  <c r="AG24" i="1" s="1"/>
  <c r="AC25" i="1"/>
  <c r="AG25" i="1" s="1"/>
  <c r="AC17" i="1"/>
  <c r="AG17" i="1" s="1"/>
  <c r="AC14" i="1"/>
  <c r="AG14" i="1" s="1"/>
  <c r="AC11" i="1"/>
  <c r="AG11" i="1" s="1"/>
  <c r="AC4" i="1"/>
  <c r="AG4" i="1" s="1"/>
  <c r="AC10" i="1"/>
  <c r="AG10" i="1" s="1"/>
  <c r="AC15" i="1"/>
  <c r="AG15" i="1" s="1"/>
  <c r="AC13" i="1"/>
  <c r="AG13" i="1" s="1"/>
  <c r="AC22" i="1"/>
  <c r="AG22" i="1" s="1"/>
  <c r="AC12" i="1"/>
  <c r="AG12" i="1" s="1"/>
  <c r="AC8" i="1"/>
  <c r="AG8" i="1" s="1"/>
  <c r="AB2" i="1" l="1"/>
  <c r="AB45" i="1" s="1"/>
  <c r="AC2" i="1" l="1"/>
  <c r="AC45" i="1" s="1"/>
  <c r="AG2" i="1" l="1"/>
  <c r="AG45" i="1" s="1"/>
  <c r="AJ45" i="1" s="1"/>
  <c r="J3" i="3"/>
  <c r="W3" i="3" s="1"/>
  <c r="W29" i="3" l="1"/>
  <c r="X3" i="3"/>
</calcChain>
</file>

<file path=xl/sharedStrings.xml><?xml version="1.0" encoding="utf-8"?>
<sst xmlns="http://schemas.openxmlformats.org/spreadsheetml/2006/main" count="354" uniqueCount="183">
  <si>
    <t>Lessor</t>
  </si>
  <si>
    <t>Tr. 1 Mineral Interest</t>
  </si>
  <si>
    <t>Tr. 1 
Gross Acreage</t>
  </si>
  <si>
    <t>Tr. 1 Mineral Acres</t>
  </si>
  <si>
    <t>Tr. 2
Mineral Interest</t>
  </si>
  <si>
    <t>Tr. 2 
Gross Acreage</t>
  </si>
  <si>
    <t>Tr. 2 Mineral Acres</t>
  </si>
  <si>
    <t>Tr. 3 Gross Acreage</t>
  </si>
  <si>
    <t>Tr. 3 Mineral Acres</t>
  </si>
  <si>
    <t>Tr. 4 Gross Acreage</t>
  </si>
  <si>
    <t>Tr. 4 Mineral Acres</t>
  </si>
  <si>
    <t>Tr. 5 Gross Acreage</t>
  </si>
  <si>
    <t>Tr. 5 Mineral Acres</t>
  </si>
  <si>
    <t>Tr. 6 Gross Acreage</t>
  </si>
  <si>
    <t>Tr. 6 Mineral Acres</t>
  </si>
  <si>
    <t>Tr. 7 Gross Acreage</t>
  </si>
  <si>
    <t>Tr. 7 Mineral Acres</t>
  </si>
  <si>
    <t>Lease Status</t>
  </si>
  <si>
    <t>Comments</t>
  </si>
  <si>
    <t>Elmore Family Partners, Ltd., by Elmore
Management, L.L.C. its Sole General Partner
Marshall Barkley Elmore, President
P.O. Box 805
Willis, TX 77378
TID# 76-0591166</t>
  </si>
  <si>
    <t>Charlyn K. Tyra, as Trustee of LCT Revocable Trust   
107 Golf View Dr
Georgetown, TX 78633
c. 281-731-1691</t>
  </si>
  <si>
    <t>Richard N. Tyra
10230 FM 2004 Rd
Santa Fe, TX 77510
281-989-2761</t>
  </si>
  <si>
    <t>Rigby Owen, Jr.,
123 Lake Estates Dr
Montgomery, TX 77356
SS# 451-56-5775</t>
  </si>
  <si>
    <t>Stephen J. Owen
c/o Rigby Owen, Jr.
123 Lake Estates Dr
Montgomery, TX 77356
SS# 467-56-0062</t>
  </si>
  <si>
    <t>Sandra Owen Powell
707 North Thompson
Conroe, TX 77301
SS# 439-44-5537</t>
  </si>
  <si>
    <t>John A. Few, Sr.
9340 Hwy 150
Shephard, TX 77371
SS# 449-06-1381</t>
  </si>
  <si>
    <t>Robert Hill Trapp   
62 Laurelhurst Cir.
The Woodlands, TX, 77382
SS# 458-88-4032</t>
  </si>
  <si>
    <t>Benita Trapp Downey
50 Hill Ave. 
Coldspring, TX 77331
SS# 458-88-4031</t>
  </si>
  <si>
    <t>Parker Speer
1711 Magnolia Bend
Cove, TX 77523</t>
  </si>
  <si>
    <t>Pete McClanahan
32 W Oak Dr
Huntsville TX 77320
SS# 449-62-9873</t>
  </si>
  <si>
    <t>Tinabeth Keasling and husband Lawrence
5072 County Road 217
Richards, TX, 77873</t>
  </si>
  <si>
    <t>Sara Kathryn (McCune) Keisler
4990 County Road 217
Richards, TX, 77873</t>
  </si>
  <si>
    <t>Shelley Hamblen Musgrave
1303 Emily Ct
Nacogdoches TX 75964</t>
  </si>
  <si>
    <t>Rebecca Hamblen Drapak
26016 Castle Meadow Ln
Kingwood TX 77339
SS# 464-94-9260</t>
  </si>
  <si>
    <t xml:space="preserve">Doug Wellborn
409 Ward Lane
Sulphur, LA.  70663 
SS# 459-90-2874                                                                                                                                   </t>
  </si>
  <si>
    <t>Laura Ann Wellborn Chestnut
23198 Loop 494
Porter TX 77365
SS# 459-90-2827</t>
  </si>
  <si>
    <t>Peter Hill Kraft
85 Old Mill River Rd.
Pound Ridge, NY 10597</t>
  </si>
  <si>
    <t>Tracy Kraft
11 Five Ponds Dr.
Waccabuc, NY 10597</t>
  </si>
  <si>
    <t>Jane Alison Hill Cochrane (Lawrence - husb.)
3401 Oak Run Dr.
Wimberly, TX 78676
SS#: Needs W9 Sent</t>
  </si>
  <si>
    <t>Luanne Staton Hill - Wife 
Po Box 531451
Harlingen TX 78553</t>
  </si>
  <si>
    <t>Cyrus Lee Lipe
3755 Dabney Bottom Rd.
Cleveland, TX  77328</t>
  </si>
  <si>
    <t>Donald Harman
13922 Copper Pine Dr.
Cypress, TX, 77429</t>
  </si>
  <si>
    <t>Claude Lester Harman, Jr.
19710 Green Imperial Ln.
Cypress, TX 77433</t>
  </si>
  <si>
    <t>Adalberto Garcia Ochoa and Jessika G. Garcia
401 W. Marlin St.
Willis TX 77378</t>
  </si>
  <si>
    <t>Old Hickory Hill LLC
Attn: Sean P. Tracey, Manager
440 Louisiana St., Suite 1901
Houston, TX, 77002</t>
  </si>
  <si>
    <t>Craig Michael Plaisance &amp; Daniel Bruce Ferguson
415 Hickory Hill Rd
Cleveland, TX 77328</t>
  </si>
  <si>
    <t>Southern Timbergrowers, Inc.
9525 Katy Freeway, Ste. 138
Houston, TX  77024</t>
  </si>
  <si>
    <t>K's Humble Yamaha Inc
2011 Wind Creek
Kingwood, TX 77345</t>
  </si>
  <si>
    <t>Jerry and Kristin Broussard
3700 Dabney Bottom Rd.
Cleveland, TX, 77328</t>
  </si>
  <si>
    <t>Daniel and Heather McRorie
201 Hickory Hill Rd.
Cleveland, TX, 77328</t>
  </si>
  <si>
    <t>Calvin and Chelsea Barrington
3670 Dabney Bottom Rd.
Cleveland, TX, 77328</t>
  </si>
  <si>
    <t>Raigan Gwen Mayo &amp; Heather Ann Henson
3660 Dabney Bottom Rd.
Cleveland, TX, 77328</t>
  </si>
  <si>
    <t>James Brian &amp; Wanda Jeanene Edwards
101 Hickory Hill Rd.
Cleveland, TX, 77328</t>
  </si>
  <si>
    <t>Candy Lynne Deloach
13126 Garrett Rd.
Houston, TX, 77044</t>
  </si>
  <si>
    <t>Total</t>
  </si>
  <si>
    <t>Unit Totals</t>
  </si>
  <si>
    <t xml:space="preserve"> This interest is out of a divided portion of  Tract 3. The mineral acres were gross up to the whole.</t>
  </si>
  <si>
    <t>Executed Lease</t>
  </si>
  <si>
    <t>Pursuing</t>
  </si>
  <si>
    <t>Agreed to Lease</t>
  </si>
  <si>
    <t>Made contact, prepared and sent leases.</t>
  </si>
  <si>
    <t xml:space="preserve">Contact unsuccessful </t>
  </si>
  <si>
    <t>Sent lease, waiting on response. Continuing follow up.</t>
  </si>
  <si>
    <t>Sent new lease, waiting on return</t>
  </si>
  <si>
    <t>Interest changed ownership, Made contact, sent lease.</t>
  </si>
  <si>
    <t xml:space="preserve">Sent lease, contact unresponsive. Predecessor did not lease. </t>
  </si>
  <si>
    <t>Negotiating</t>
  </si>
  <si>
    <t>Part of a divided portion of Unit Tr.2, herein as Tr. 2c
Lease package sent</t>
  </si>
  <si>
    <t>Part of a divided portion of Unit Tr.2, herein as Tr. 2b
Lease package to be sent</t>
  </si>
  <si>
    <t>Part of a divided portion of Unit Tr.2, herein as Tr. 2g
Lease package sent</t>
  </si>
  <si>
    <t>Part of a divided portion of Unit Tr.2, herein as Tr. 2f
Lease package sent</t>
  </si>
  <si>
    <t>Part of a divided portion of Tr.2, herein as Tr. 2a
Lease package sent</t>
  </si>
  <si>
    <t>Part of a divided portion of Unit Tr.2, herein as Tr. 2e
Lease package sent</t>
  </si>
  <si>
    <t>Part of a divided portion of Unit Tr.2, herein as Tr. 2h
Lease package sent</t>
  </si>
  <si>
    <t>Lease Roy.</t>
  </si>
  <si>
    <t>NRI AC.</t>
  </si>
  <si>
    <t>Bradbury Family Investments, LLC
131 S. Trade Center Parkway
Conroe, TX, 77385-8216
713-545-9416</t>
  </si>
  <si>
    <t xml:space="preserve">Part of a divided portion of Unit Tr.2, herein as Tr. 2d
</t>
  </si>
  <si>
    <t>Steven and LaNee Denman
3833 FM 1725
Willis, TX, 77378</t>
  </si>
  <si>
    <t>Brother is an O&amp;G Attorney. Discussing lease</t>
  </si>
  <si>
    <t>Kenneth W. McDaniel
14 Happy Hollow Ln.
Wimberley, TX 78676</t>
  </si>
  <si>
    <t>Patricia J. McDaniel
3011 Wagon Trail Dr
Sugar Land TX 77479</t>
  </si>
  <si>
    <t>Richard M. McDaniel
39 Presidio Rd.
Wimberley, TX 78676</t>
  </si>
  <si>
    <t>Kathy Richmond - dec'd
Spouse: 
Marvin Elliot Richmond
5305 Summerset Trail
Austin, TX78749
Daughter:
Jennifer Anne Richmond (Harrison)
1823 Shepheard Dr., 
Fort Worth, TX 76114</t>
  </si>
  <si>
    <t>Tr.3 Mineral Interest</t>
  </si>
  <si>
    <t>Tr. 4 Mineral Interest</t>
  </si>
  <si>
    <t>Tr.5 Mineral Interest</t>
  </si>
  <si>
    <t>Tr. 6 Mineral Interest</t>
  </si>
  <si>
    <t>Tr. 7 Mineral Interest</t>
  </si>
  <si>
    <t xml:space="preserve"> </t>
  </si>
  <si>
    <t>Tr. 4 NPR 2 Adjusted</t>
  </si>
  <si>
    <t>Tr.7 NPR 2 Adjusted</t>
  </si>
  <si>
    <t>Unit Totals NPR 2 Adjusted</t>
  </si>
  <si>
    <t>Divided interior tracts</t>
  </si>
  <si>
    <t>Tr.5 NPR 1 Adjusted</t>
  </si>
  <si>
    <t>Tr.3 NPR 1 Adjusted</t>
  </si>
  <si>
    <t>Tr.2 NPR 1 Adjusted</t>
  </si>
  <si>
    <t>Tr.6 NPR 1 Adjusted</t>
  </si>
  <si>
    <t>Contact not yet made</t>
  </si>
  <si>
    <t>NRI AC  NPR 1</t>
  </si>
  <si>
    <t>NRI AC  NPR 2</t>
  </si>
  <si>
    <t>Tr. 3 
Gross Acreage</t>
  </si>
  <si>
    <t>Tr. 4 
Gross Acreage</t>
  </si>
  <si>
    <t>Tr. 5 
Gross Acreage</t>
  </si>
  <si>
    <t>Tr. 6 
Gross Acreage</t>
  </si>
  <si>
    <t>Tr. 7 
Gross Acreage</t>
  </si>
  <si>
    <t>Outstanding NPR 1</t>
  </si>
  <si>
    <t>Arcadia NRI</t>
  </si>
  <si>
    <t>Sent final lease offer, no response</t>
  </si>
  <si>
    <t>Bonus Paid</t>
  </si>
  <si>
    <t xml:space="preserve">Sent final lease offer, no response
Note: This interest is out of a divided portion of  Tract 3. </t>
  </si>
  <si>
    <t xml:space="preserve">
Note: This interest is out of a divided portion of  Tract 3. </t>
  </si>
  <si>
    <t xml:space="preserve">Note: Part of a divided portion of Unit Tr.2, herein as Tr. 2d
</t>
  </si>
  <si>
    <t>Sent final lease offer, no response
Note: Part of a divided portion of Unit Tr.2, herein as Tr. 2c</t>
  </si>
  <si>
    <t xml:space="preserve">Note: Part of a divided portion of Unit Tr.2, herein as Tr. 2b
</t>
  </si>
  <si>
    <t xml:space="preserve">Sent final lease offer, no response Note: Part of a divided portion of Unit Tr.2, herein as Tr. 2h
</t>
  </si>
  <si>
    <t xml:space="preserve">Note: Part of a divided portion of Unit Tr.2, herein as Tr. 2g
</t>
  </si>
  <si>
    <t xml:space="preserve">Note: Part of a divided portion of Unit Tr.2, herein as Tr. 2e
</t>
  </si>
  <si>
    <t xml:space="preserve">Note: Part of a divided portion of Unit Tr.2, herein as Tr. 2f
</t>
  </si>
  <si>
    <t xml:space="preserve">Sent final lease offer, no response Note: Part of a divided portion of Tr.2, herein as Tr. 2a
</t>
  </si>
  <si>
    <t>Owner</t>
  </si>
  <si>
    <t>Tr. 1 
NPR Interest</t>
  </si>
  <si>
    <t>Tr. 1 
NPR Acres</t>
  </si>
  <si>
    <t>Tr. 2
NPR Interest</t>
  </si>
  <si>
    <t>Tr. 2 
NPR Acres</t>
  </si>
  <si>
    <t>Tract 3 NPR Interest</t>
  </si>
  <si>
    <t>Tr. 3 
NPR Acres</t>
  </si>
  <si>
    <t>Tract 4 NPR Interest</t>
  </si>
  <si>
    <t>Tr. 4 
NPR Acres</t>
  </si>
  <si>
    <t>Tract 5 NPR Interest</t>
  </si>
  <si>
    <t>Tr. 5 
NPR Acres</t>
  </si>
  <si>
    <t>Tract 6 NPR Interest</t>
  </si>
  <si>
    <t>Tr. 6 NPR Acres</t>
  </si>
  <si>
    <t>Tract 7 NPR Interest</t>
  </si>
  <si>
    <t>Tr. 7 
NPR Acres</t>
  </si>
  <si>
    <t>NPR1</t>
  </si>
  <si>
    <t>H.C. Aiken</t>
  </si>
  <si>
    <t xml:space="preserve">Shriners Hospitals for Children </t>
  </si>
  <si>
    <t>The Board of Regents of the U of T
System, fbo M.D. Anderson Cancer Center</t>
  </si>
  <si>
    <t>The Museum of Fine Arts, Houston</t>
  </si>
  <si>
    <t>St. Thomas High School</t>
  </si>
  <si>
    <t>Louise J. Moran Foundation</t>
  </si>
  <si>
    <t>Shine LLC</t>
  </si>
  <si>
    <t>Elizabeth K. Holmes</t>
  </si>
  <si>
    <t>Franke Natural Resources, L.P</t>
  </si>
  <si>
    <t>KMF Management Trust UTD February 5, 2008; Kenneth Michael Franke, Trustee</t>
  </si>
  <si>
    <t>Bruce L. Franke</t>
  </si>
  <si>
    <t>Patrick J. Moran and John E. O'Neill
Trustees of the Patrick J. Moran Trust</t>
  </si>
  <si>
    <t>LJM Trust;
C.W. Sunday and Allen L. Jogers, Trustees</t>
  </si>
  <si>
    <t>Patrick J. Moran and Texas Commerce Bank National Association, Trustees of the Moran Employees Trust</t>
  </si>
  <si>
    <t>Ann E. Moran</t>
  </si>
  <si>
    <t>Patrick J. Moran and Howard Letcher, Trustees of the W.T. Moran III Trust</t>
  </si>
  <si>
    <t>Moran Properties, Inc.</t>
  </si>
  <si>
    <t>William S. Poinsett</t>
  </si>
  <si>
    <t>Judith Lee Poinsett Properties, LLC</t>
  </si>
  <si>
    <t>Leroy M. Poinsett, Jr.</t>
  </si>
  <si>
    <t>Texas Commerce Bank National Association, Trustee of the Margaret Ann Dell Osso Trust</t>
  </si>
  <si>
    <t>Mae G. Shapley</t>
  </si>
  <si>
    <t>N.A.B. Oil &amp; Gas Holdings, Inc.</t>
  </si>
  <si>
    <t>Byrne Family, L.L.C.</t>
  </si>
  <si>
    <t>M. Klein Enterprises, LLC</t>
  </si>
  <si>
    <t>Patrick J. Moran and W.T. Moran III, Trustees of the James P. Poinsett Trust</t>
  </si>
  <si>
    <t>NPR2</t>
  </si>
  <si>
    <t>Billie Jo Trapp</t>
  </si>
  <si>
    <t xml:space="preserve">Doug Wellborn </t>
  </si>
  <si>
    <t>Laura Ann Wellborn</t>
  </si>
  <si>
    <t>Lily Lois Speer</t>
  </si>
  <si>
    <t>Pete McClanahan</t>
  </si>
  <si>
    <t>Vivian McCune</t>
  </si>
  <si>
    <t>Virginia L. Hamblen-Dove</t>
  </si>
  <si>
    <t>Claude Lester Harman, Jr.
19710 Green Imperial Ln.
Cypress, TX 77433
SS# 458-56-3860</t>
  </si>
  <si>
    <t>Donald Harman
13922 Copper Pine Dr.
Cypress, TX, 77429
SS# 458-56-3861</t>
  </si>
  <si>
    <t>Candy Lynne Deloach
13126 Garrett Rd.
Houston, TX, 77044
SS# 429-39-8717</t>
  </si>
  <si>
    <t>Richard N. Tyra
10230 FM 2004 Rd
Santa Fe, TX 77510
281-989-2761
SS# 461-58-0407</t>
  </si>
  <si>
    <t>Charlyn K. Tyra, as Trustee of LCT Revocable Trust   
107 Golf View Dr
Georgetown, TX 78633
281-731-1691
SS# 450-90-3562</t>
  </si>
  <si>
    <t>Daniel and Heather McRorie
201 Hickory Hill Rd.
Cleveland, TX, 77328
SS# 463-67-1369, Daniel
SS# 466-87-5527, Heather</t>
  </si>
  <si>
    <t>Jerry and Kristin Broussard
3700 Dabney Bottom Rd.
Cleveland, TX, 77328
SS# 637-10-7834, Jerry
SS# 632-03-0122, Kristin</t>
  </si>
  <si>
    <t>Old Hickory Hill LLC
Attn: Sean P. Tracey, Manager
440 Louisiana St., Suite 1901
Houston, TX, 77002
EIN# 39-3008210</t>
  </si>
  <si>
    <t>Lessor altered the lease to eliminate treating cost</t>
  </si>
  <si>
    <t>James Brian &amp; Wanda Jeanene Edwards
101 Hickory Hill Rd.
Cleveland, TX, 77328
SS# 451-61-6224 Wanda
SS# 434-43-5197 James</t>
  </si>
  <si>
    <t>Tinabeth Keasling and husband Lawrence
5072 County Road 217
Richards, TX, 77873
SS# 454-84-2642 Lawrence
SS# 450-74-1912 Tinabeth</t>
  </si>
  <si>
    <t>Peter Hill Kraft
85 Old Mill River Rd.
Pound Ridge, NY 10597
SS# 096-58-1407</t>
  </si>
  <si>
    <t>Raigan Gwen Mayo &amp; Heather Ann Henson
3660 Dabney Bottom Rd.
Cleveland, TX, 77328
SS# 437-39-1195 - Raigan Gwen Mayo
SS# 594-10-3309 - Heather Ann Henson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</si>
</sst>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4" formatCode="_(&quot;$&quot;* #,##0.00_);_(&quot;$&quot;* \(#,##0.00\);_(&quot;$&quot;* &quot;-&quot;??_);_(@_)"/>
    <numFmt numFmtId="164" formatCode="0.00000"/>
    <numFmt numFmtId="165" formatCode="0.000%"/>
    <numFmt numFmtId="166" formatCode="0.00000000"/>
    <numFmt numFmtId="167" formatCode="0.000"/>
    <numFmt numFmtId="168" formatCode="0.0%"/>
    <numFmt numFmtId="169" formatCode="0.0000"/>
    <numFmt numFmtId="170" formatCode="0.0000000"/>
    <numFmt numFmtId="171" formatCode="&quot;$&quot;#,##0.00"/>
    <numFmt numFmtId="172" formatCode="0.000000"/>
  </numFmts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Times New Roman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</borders>
  <cellStyleXfs count="4">
    <xf numFmtId="0" fontId="0" fillId="0" borderId="0"/>
    <xf numFmtId="0" fontId="2" fillId="0" borderId="0"/>
    <xf numFmtId="44" fontId="3" fillId="0" borderId="0" applyFont="0" applyFill="0" applyBorder="0" applyAlignment="0" applyProtection="0"/>
    <xf numFmtId="0" fontId="3" fillId="0" borderId="0"/>
  </cellStyleXfs>
  <cellXfs count="191">
    <xf numFmtId="0" fontId="0" fillId="0" borderId="0" xfId="0"/>
    <xf numFmtId="9" fontId="4" fillId="0" borderId="6" xfId="0" applyNumberFormat="1" applyFont="1" applyBorder="1" applyAlignment="1">
      <alignment horizontal="left" vertical="top" wrapText="1"/>
    </xf>
    <xf numFmtId="164" fontId="4" fillId="0" borderId="6" xfId="0" applyNumberFormat="1" applyFont="1" applyBorder="1" applyAlignment="1">
      <alignment horizontal="left" vertical="top" wrapText="1"/>
    </xf>
    <xf numFmtId="10" fontId="4" fillId="0" borderId="6" xfId="0" applyNumberFormat="1" applyFont="1" applyBorder="1" applyAlignment="1">
      <alignment horizontal="left" vertical="top" wrapText="1"/>
    </xf>
    <xf numFmtId="2" fontId="4" fillId="0" borderId="6" xfId="0" applyNumberFormat="1" applyFont="1" applyBorder="1" applyAlignment="1">
      <alignment horizontal="center" vertical="top" wrapText="1"/>
    </xf>
    <xf numFmtId="2" fontId="4" fillId="0" borderId="6" xfId="0" applyNumberFormat="1" applyFont="1" applyBorder="1" applyAlignment="1">
      <alignment horizontal="left" vertical="top" wrapText="1"/>
    </xf>
    <xf numFmtId="165" fontId="4" fillId="0" borderId="6" xfId="0" applyNumberFormat="1" applyFont="1" applyBorder="1" applyAlignment="1">
      <alignment horizontal="left" vertical="top" wrapText="1"/>
    </xf>
    <xf numFmtId="167" fontId="4" fillId="0" borderId="6" xfId="0" applyNumberFormat="1" applyFont="1" applyBorder="1" applyAlignment="1">
      <alignment horizontal="center" vertical="top" wrapText="1"/>
    </xf>
    <xf numFmtId="168" fontId="4" fillId="0" borderId="6" xfId="0" applyNumberFormat="1" applyFont="1" applyBorder="1" applyAlignment="1">
      <alignment horizontal="left" vertical="top" wrapText="1"/>
    </xf>
    <xf numFmtId="10" fontId="4" fillId="0" borderId="6" xfId="0" applyNumberFormat="1" applyFont="1" applyBorder="1" applyAlignment="1">
      <alignment horizontal="center" vertical="top" wrapText="1"/>
    </xf>
    <xf numFmtId="168" fontId="4" fillId="0" borderId="6" xfId="0" applyNumberFormat="1" applyFont="1" applyBorder="1" applyAlignment="1">
      <alignment horizontal="center" vertical="top" wrapText="1"/>
    </xf>
    <xf numFmtId="169" fontId="4" fillId="0" borderId="6" xfId="0" applyNumberFormat="1" applyFont="1" applyBorder="1" applyAlignment="1">
      <alignment horizontal="center" vertical="top" wrapText="1"/>
    </xf>
    <xf numFmtId="0" fontId="4" fillId="0" borderId="6" xfId="0" applyFont="1" applyBorder="1" applyAlignment="1">
      <alignment vertical="top" wrapText="1"/>
    </xf>
    <xf numFmtId="169" fontId="4" fillId="0" borderId="6" xfId="0" applyNumberFormat="1" applyFont="1" applyBorder="1" applyAlignment="1">
      <alignment horizontal="left" vertical="top" wrapText="1"/>
    </xf>
    <xf numFmtId="0" fontId="7" fillId="0" borderId="1" xfId="1" applyFont="1" applyBorder="1" applyAlignment="1">
      <alignment vertical="top" wrapText="1"/>
    </xf>
    <xf numFmtId="0" fontId="7" fillId="0" borderId="2" xfId="1" applyFont="1" applyBorder="1" applyAlignment="1">
      <alignment horizontal="left" vertical="top" wrapText="1"/>
    </xf>
    <xf numFmtId="169" fontId="7" fillId="0" borderId="2" xfId="1" applyNumberFormat="1" applyFont="1" applyBorder="1" applyAlignment="1">
      <alignment horizontal="left" vertical="top" wrapText="1"/>
    </xf>
    <xf numFmtId="0" fontId="7" fillId="0" borderId="3" xfId="1" applyFont="1" applyBorder="1" applyAlignment="1">
      <alignment horizontal="left" vertical="top" wrapText="1"/>
    </xf>
    <xf numFmtId="2" fontId="7" fillId="0" borderId="3" xfId="1" applyNumberFormat="1" applyFont="1" applyBorder="1" applyAlignment="1">
      <alignment horizontal="center" vertical="top" wrapText="1"/>
    </xf>
    <xf numFmtId="167" fontId="7" fillId="0" borderId="3" xfId="1" applyNumberFormat="1" applyFont="1" applyBorder="1" applyAlignment="1">
      <alignment horizontal="left" vertical="top" wrapText="1"/>
    </xf>
    <xf numFmtId="164" fontId="7" fillId="0" borderId="3" xfId="1" applyNumberFormat="1" applyFont="1" applyBorder="1" applyAlignment="1">
      <alignment horizontal="left" vertical="top" wrapText="1"/>
    </xf>
    <xf numFmtId="2" fontId="7" fillId="0" borderId="3" xfId="1" applyNumberFormat="1" applyFont="1" applyBorder="1" applyAlignment="1">
      <alignment horizontal="left" vertical="top" wrapText="1"/>
    </xf>
    <xf numFmtId="164" fontId="7" fillId="0" borderId="7" xfId="1" applyNumberFormat="1" applyFont="1" applyBorder="1" applyAlignment="1">
      <alignment horizontal="left" vertical="top" wrapText="1"/>
    </xf>
    <xf numFmtId="164" fontId="7" fillId="0" borderId="4" xfId="1" applyNumberFormat="1" applyFont="1" applyBorder="1" applyAlignment="1">
      <alignment horizontal="left" vertical="top" wrapText="1"/>
    </xf>
    <xf numFmtId="0" fontId="8" fillId="0" borderId="0" xfId="1" applyFont="1"/>
    <xf numFmtId="166" fontId="8" fillId="0" borderId="4" xfId="1" applyNumberFormat="1" applyFont="1" applyBorder="1" applyAlignment="1">
      <alignment vertical="center" wrapText="1"/>
    </xf>
    <xf numFmtId="166" fontId="8" fillId="0" borderId="4" xfId="1" applyNumberFormat="1" applyFont="1" applyBorder="1" applyAlignment="1">
      <alignment horizontal="center" vertical="center" wrapText="1"/>
    </xf>
    <xf numFmtId="169" fontId="8" fillId="0" borderId="4" xfId="1" applyNumberFormat="1" applyFont="1" applyBorder="1" applyAlignment="1">
      <alignment horizontal="center" vertical="center" wrapText="1"/>
    </xf>
    <xf numFmtId="166" fontId="5" fillId="0" borderId="4" xfId="1" applyNumberFormat="1" applyFont="1" applyBorder="1" applyAlignment="1">
      <alignment horizontal="center" vertical="center"/>
    </xf>
    <xf numFmtId="2" fontId="5" fillId="0" borderId="4" xfId="1" applyNumberFormat="1" applyFont="1" applyBorder="1" applyAlignment="1">
      <alignment horizontal="center" vertical="center"/>
    </xf>
    <xf numFmtId="167" fontId="5" fillId="0" borderId="4" xfId="1" applyNumberFormat="1" applyFont="1" applyBorder="1" applyAlignment="1">
      <alignment horizontal="center" vertical="center"/>
    </xf>
    <xf numFmtId="166" fontId="5" fillId="0" borderId="4" xfId="1" applyNumberFormat="1" applyFont="1" applyBorder="1" applyAlignment="1">
      <alignment horizontal="center" vertical="center" wrapText="1"/>
    </xf>
    <xf numFmtId="166" fontId="9" fillId="0" borderId="4" xfId="0" applyNumberFormat="1" applyFont="1" applyBorder="1" applyAlignment="1">
      <alignment horizontal="center" vertical="center" wrapText="1"/>
    </xf>
    <xf numFmtId="2" fontId="5" fillId="0" borderId="4" xfId="1" applyNumberFormat="1" applyFont="1" applyBorder="1" applyAlignment="1">
      <alignment horizontal="center" vertical="center" wrapText="1"/>
    </xf>
    <xf numFmtId="166" fontId="8" fillId="0" borderId="4" xfId="3" applyNumberFormat="1" applyFont="1" applyBorder="1" applyAlignment="1">
      <alignment horizontal="center" vertical="center" wrapText="1"/>
    </xf>
    <xf numFmtId="167" fontId="5" fillId="0" borderId="4" xfId="1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166" fontId="6" fillId="0" borderId="4" xfId="3" applyNumberFormat="1" applyFont="1" applyBorder="1" applyAlignment="1">
      <alignment horizontal="center" vertical="center" wrapText="1"/>
    </xf>
    <xf numFmtId="166" fontId="8" fillId="0" borderId="4" xfId="1" applyNumberFormat="1" applyFont="1" applyBorder="1" applyAlignment="1">
      <alignment horizontal="center" vertical="center"/>
    </xf>
    <xf numFmtId="166" fontId="5" fillId="0" borderId="4" xfId="1" applyNumberFormat="1" applyFont="1" applyBorder="1" applyAlignment="1">
      <alignment vertical="center" wrapText="1"/>
    </xf>
    <xf numFmtId="167" fontId="8" fillId="0" borderId="4" xfId="3" applyNumberFormat="1" applyFont="1" applyBorder="1" applyAlignment="1">
      <alignment horizontal="center" vertical="center" wrapText="1"/>
    </xf>
    <xf numFmtId="169" fontId="5" fillId="0" borderId="4" xfId="1" applyNumberFormat="1" applyFont="1" applyBorder="1" applyAlignment="1">
      <alignment horizontal="center" vertical="center" wrapText="1"/>
    </xf>
    <xf numFmtId="166" fontId="9" fillId="0" borderId="4" xfId="0" applyNumberFormat="1" applyFont="1" applyBorder="1" applyAlignment="1">
      <alignment horizontal="center" vertical="center"/>
    </xf>
    <xf numFmtId="166" fontId="10" fillId="0" borderId="4" xfId="1" applyNumberFormat="1" applyFont="1" applyBorder="1" applyAlignment="1">
      <alignment vertical="center" wrapText="1"/>
    </xf>
    <xf numFmtId="49" fontId="5" fillId="2" borderId="4" xfId="0" applyNumberFormat="1" applyFont="1" applyFill="1" applyBorder="1" applyAlignment="1">
      <alignment vertical="center" wrapText="1"/>
    </xf>
    <xf numFmtId="166" fontId="9" fillId="0" borderId="4" xfId="1" applyNumberFormat="1" applyFont="1" applyBorder="1" applyAlignment="1">
      <alignment horizontal="center" vertical="center" wrapText="1"/>
    </xf>
    <xf numFmtId="2" fontId="8" fillId="0" borderId="4" xfId="1" applyNumberFormat="1" applyFont="1" applyBorder="1" applyAlignment="1">
      <alignment horizontal="center" vertical="center" wrapText="1"/>
    </xf>
    <xf numFmtId="166" fontId="5" fillId="0" borderId="5" xfId="1" applyNumberFormat="1" applyFont="1" applyBorder="1" applyAlignment="1">
      <alignment horizontal="center" vertical="center" wrapText="1"/>
    </xf>
    <xf numFmtId="169" fontId="5" fillId="0" borderId="5" xfId="1" applyNumberFormat="1" applyFont="1" applyBorder="1" applyAlignment="1">
      <alignment horizontal="center" vertical="center" wrapText="1"/>
    </xf>
    <xf numFmtId="166" fontId="5" fillId="0" borderId="5" xfId="1" applyNumberFormat="1" applyFont="1" applyBorder="1" applyAlignment="1">
      <alignment horizontal="center" vertical="center"/>
    </xf>
    <xf numFmtId="2" fontId="5" fillId="0" borderId="5" xfId="1" applyNumberFormat="1" applyFont="1" applyBorder="1" applyAlignment="1">
      <alignment horizontal="center" vertical="center"/>
    </xf>
    <xf numFmtId="167" fontId="5" fillId="0" borderId="5" xfId="1" applyNumberFormat="1" applyFont="1" applyBorder="1" applyAlignment="1">
      <alignment horizontal="center" vertical="center"/>
    </xf>
    <xf numFmtId="166" fontId="5" fillId="2" borderId="4" xfId="1" applyNumberFormat="1" applyFont="1" applyFill="1" applyBorder="1" applyAlignment="1">
      <alignment horizontal="center" vertical="center" wrapText="1"/>
    </xf>
    <xf numFmtId="166" fontId="8" fillId="2" borderId="4" xfId="1" applyNumberFormat="1" applyFont="1" applyFill="1" applyBorder="1" applyAlignment="1">
      <alignment horizontal="center" vertical="center"/>
    </xf>
    <xf numFmtId="169" fontId="11" fillId="0" borderId="4" xfId="0" applyNumberFormat="1" applyFont="1" applyBorder="1" applyAlignment="1">
      <alignment horizontal="center" vertical="top" wrapText="1"/>
    </xf>
    <xf numFmtId="169" fontId="8" fillId="0" borderId="0" xfId="1" applyNumberFormat="1" applyFont="1"/>
    <xf numFmtId="2" fontId="8" fillId="0" borderId="0" xfId="1" applyNumberFormat="1" applyFont="1"/>
    <xf numFmtId="167" fontId="8" fillId="0" borderId="0" xfId="1" applyNumberFormat="1" applyFont="1"/>
    <xf numFmtId="0" fontId="8" fillId="0" borderId="0" xfId="1" applyFont="1" applyAlignment="1">
      <alignment horizontal="left" vertical="top"/>
    </xf>
    <xf numFmtId="164" fontId="8" fillId="0" borderId="0" xfId="1" applyNumberFormat="1" applyFont="1"/>
    <xf numFmtId="0" fontId="9" fillId="2" borderId="4" xfId="0" applyFont="1" applyFill="1" applyBorder="1" applyAlignment="1">
      <alignment horizontal="center" vertical="center" wrapText="1"/>
    </xf>
    <xf numFmtId="166" fontId="8" fillId="2" borderId="4" xfId="3" applyNumberFormat="1" applyFont="1" applyFill="1" applyBorder="1" applyAlignment="1">
      <alignment horizontal="center" vertical="center" wrapText="1"/>
    </xf>
    <xf numFmtId="169" fontId="1" fillId="2" borderId="4" xfId="1" applyNumberFormat="1" applyFont="1" applyFill="1" applyBorder="1" applyAlignment="1">
      <alignment horizontal="center" vertical="center" wrapText="1"/>
    </xf>
    <xf numFmtId="169" fontId="1" fillId="2" borderId="4" xfId="1" applyNumberFormat="1" applyFont="1" applyFill="1" applyBorder="1" applyAlignment="1">
      <alignment horizontal="center" vertical="center"/>
    </xf>
    <xf numFmtId="166" fontId="6" fillId="0" borderId="4" xfId="1" applyNumberFormat="1" applyFont="1" applyBorder="1" applyAlignment="1">
      <alignment horizontal="center" vertical="center" wrapText="1"/>
    </xf>
    <xf numFmtId="166" fontId="7" fillId="3" borderId="4" xfId="1" applyNumberFormat="1" applyFont="1" applyFill="1" applyBorder="1" applyAlignment="1">
      <alignment vertical="center" wrapText="1"/>
    </xf>
    <xf numFmtId="166" fontId="7" fillId="3" borderId="4" xfId="1" applyNumberFormat="1" applyFont="1" applyFill="1" applyBorder="1" applyAlignment="1">
      <alignment horizontal="center" vertical="center"/>
    </xf>
    <xf numFmtId="164" fontId="6" fillId="0" borderId="4" xfId="1" applyNumberFormat="1" applyFont="1" applyBorder="1" applyAlignment="1">
      <alignment horizontal="left" vertical="top" wrapText="1"/>
    </xf>
    <xf numFmtId="170" fontId="8" fillId="0" borderId="4" xfId="1" applyNumberFormat="1" applyFont="1" applyBorder="1" applyAlignment="1">
      <alignment horizontal="center" vertical="top"/>
    </xf>
    <xf numFmtId="164" fontId="9" fillId="0" borderId="4" xfId="1" applyNumberFormat="1" applyFont="1" applyBorder="1" applyAlignment="1">
      <alignment horizontal="left" vertical="top"/>
    </xf>
    <xf numFmtId="170" fontId="8" fillId="0" borderId="4" xfId="1" applyNumberFormat="1" applyFont="1" applyBorder="1" applyAlignment="1">
      <alignment horizontal="center" vertical="center"/>
    </xf>
    <xf numFmtId="0" fontId="7" fillId="2" borderId="3" xfId="1" applyFont="1" applyFill="1" applyBorder="1" applyAlignment="1">
      <alignment horizontal="left" vertical="top" wrapText="1"/>
    </xf>
    <xf numFmtId="164" fontId="7" fillId="2" borderId="3" xfId="1" applyNumberFormat="1" applyFont="1" applyFill="1" applyBorder="1" applyAlignment="1">
      <alignment horizontal="left" vertical="top" wrapText="1"/>
    </xf>
    <xf numFmtId="164" fontId="6" fillId="0" borderId="4" xfId="1" applyNumberFormat="1" applyFont="1" applyBorder="1" applyAlignment="1">
      <alignment horizontal="left" vertical="top"/>
    </xf>
    <xf numFmtId="166" fontId="5" fillId="4" borderId="4" xfId="1" applyNumberFormat="1" applyFont="1" applyFill="1" applyBorder="1" applyAlignment="1">
      <alignment vertical="center" wrapText="1"/>
    </xf>
    <xf numFmtId="49" fontId="5" fillId="0" borderId="4" xfId="0" applyNumberFormat="1" applyFont="1" applyBorder="1" applyAlignment="1">
      <alignment vertical="center" wrapText="1"/>
    </xf>
    <xf numFmtId="171" fontId="0" fillId="0" borderId="4" xfId="0" applyNumberFormat="1" applyBorder="1" applyAlignment="1">
      <alignment vertical="top"/>
    </xf>
    <xf numFmtId="166" fontId="14" fillId="0" borderId="4" xfId="1" applyNumberFormat="1" applyFont="1" applyBorder="1" applyAlignment="1">
      <alignment horizontal="center" vertical="top" wrapText="1"/>
    </xf>
    <xf numFmtId="171" fontId="13" fillId="0" borderId="4" xfId="0" applyNumberFormat="1" applyFont="1" applyBorder="1" applyAlignment="1">
      <alignment vertical="top"/>
    </xf>
    <xf numFmtId="0" fontId="8" fillId="0" borderId="0" xfId="1" applyFont="1" applyAlignment="1">
      <alignment vertical="top"/>
    </xf>
    <xf numFmtId="166" fontId="6" fillId="0" borderId="4" xfId="1" applyNumberFormat="1" applyFont="1" applyBorder="1" applyAlignment="1">
      <alignment horizontal="center" vertical="center"/>
    </xf>
    <xf numFmtId="164" fontId="8" fillId="0" borderId="4" xfId="1" applyNumberFormat="1" applyFont="1" applyBorder="1" applyAlignment="1">
      <alignment horizontal="center" vertical="center" wrapText="1"/>
    </xf>
    <xf numFmtId="164" fontId="5" fillId="0" borderId="4" xfId="1" applyNumberFormat="1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 wrapText="1"/>
    </xf>
    <xf numFmtId="164" fontId="9" fillId="0" borderId="4" xfId="0" applyNumberFormat="1" applyFont="1" applyBorder="1" applyAlignment="1">
      <alignment horizontal="center" vertical="center" wrapText="1"/>
    </xf>
    <xf numFmtId="164" fontId="8" fillId="0" borderId="4" xfId="3" applyNumberFormat="1" applyFont="1" applyBorder="1" applyAlignment="1">
      <alignment horizontal="center" vertical="center" wrapText="1"/>
    </xf>
    <xf numFmtId="164" fontId="6" fillId="0" borderId="4" xfId="3" applyNumberFormat="1" applyFont="1" applyBorder="1" applyAlignment="1">
      <alignment horizontal="center" vertical="center" wrapText="1"/>
    </xf>
    <xf numFmtId="164" fontId="8" fillId="0" borderId="4" xfId="1" applyNumberFormat="1" applyFont="1" applyBorder="1" applyAlignment="1">
      <alignment horizontal="center" vertical="center"/>
    </xf>
    <xf numFmtId="164" fontId="9" fillId="0" borderId="4" xfId="0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 wrapText="1"/>
    </xf>
    <xf numFmtId="164" fontId="5" fillId="0" borderId="5" xfId="1" applyNumberFormat="1" applyFont="1" applyBorder="1" applyAlignment="1">
      <alignment horizontal="center" vertical="center"/>
    </xf>
    <xf numFmtId="164" fontId="7" fillId="3" borderId="4" xfId="1" applyNumberFormat="1" applyFont="1" applyFill="1" applyBorder="1" applyAlignment="1">
      <alignment horizontal="center" vertical="center"/>
    </xf>
    <xf numFmtId="164" fontId="6" fillId="0" borderId="4" xfId="1" applyNumberFormat="1" applyFont="1" applyBorder="1" applyAlignment="1">
      <alignment horizontal="center" vertical="center" wrapText="1"/>
    </xf>
    <xf numFmtId="164" fontId="8" fillId="0" borderId="4" xfId="1" applyNumberFormat="1" applyFont="1" applyBorder="1" applyAlignment="1">
      <alignment horizontal="center" vertical="top"/>
    </xf>
    <xf numFmtId="164" fontId="4" fillId="0" borderId="4" xfId="0" applyNumberFormat="1" applyFont="1" applyBorder="1" applyAlignment="1">
      <alignment horizontal="center"/>
    </xf>
    <xf numFmtId="164" fontId="6" fillId="0" borderId="4" xfId="1" applyNumberFormat="1" applyFont="1" applyBorder="1" applyAlignment="1">
      <alignment horizontal="center" vertical="center"/>
    </xf>
    <xf numFmtId="166" fontId="8" fillId="0" borderId="7" xfId="1" applyNumberFormat="1" applyFont="1" applyBorder="1" applyAlignment="1">
      <alignment vertical="center" wrapText="1"/>
    </xf>
    <xf numFmtId="164" fontId="5" fillId="0" borderId="7" xfId="1" applyNumberFormat="1" applyFont="1" applyBorder="1" applyAlignment="1">
      <alignment horizontal="center" vertical="center" wrapText="1"/>
    </xf>
    <xf numFmtId="164" fontId="5" fillId="0" borderId="7" xfId="1" applyNumberFormat="1" applyFont="1" applyBorder="1" applyAlignment="1">
      <alignment horizontal="center" vertical="center"/>
    </xf>
    <xf numFmtId="164" fontId="8" fillId="0" borderId="7" xfId="1" applyNumberFormat="1" applyFont="1" applyBorder="1" applyAlignment="1">
      <alignment horizontal="center" vertical="center"/>
    </xf>
    <xf numFmtId="166" fontId="0" fillId="0" borderId="4" xfId="1" applyNumberFormat="1" applyFont="1" applyBorder="1" applyAlignment="1">
      <alignment vertical="center"/>
    </xf>
    <xf numFmtId="164" fontId="0" fillId="0" borderId="4" xfId="1" applyNumberFormat="1" applyFont="1" applyBorder="1" applyAlignment="1">
      <alignment horizontal="center" vertical="center" wrapText="1"/>
    </xf>
    <xf numFmtId="164" fontId="0" fillId="0" borderId="4" xfId="1" applyNumberFormat="1" applyFont="1" applyBorder="1" applyAlignment="1">
      <alignment horizontal="center" vertical="center"/>
    </xf>
    <xf numFmtId="166" fontId="11" fillId="0" borderId="4" xfId="1" applyNumberFormat="1" applyFont="1" applyBorder="1" applyAlignment="1">
      <alignment horizontal="center" vertical="center" wrapText="1"/>
    </xf>
    <xf numFmtId="164" fontId="8" fillId="0" borderId="7" xfId="1" applyNumberFormat="1" applyFont="1" applyBorder="1" applyAlignment="1">
      <alignment horizontal="center" vertical="center" wrapText="1"/>
    </xf>
    <xf numFmtId="164" fontId="9" fillId="0" borderId="7" xfId="0" applyNumberFormat="1" applyFont="1" applyBorder="1" applyAlignment="1">
      <alignment horizontal="center" vertical="center" wrapText="1"/>
    </xf>
    <xf numFmtId="164" fontId="8" fillId="0" borderId="7" xfId="3" applyNumberFormat="1" applyFont="1" applyBorder="1" applyAlignment="1">
      <alignment horizontal="center" vertical="center" wrapText="1"/>
    </xf>
    <xf numFmtId="164" fontId="6" fillId="0" borderId="7" xfId="3" applyNumberFormat="1" applyFont="1" applyBorder="1" applyAlignment="1">
      <alignment horizontal="center" vertical="center" wrapText="1"/>
    </xf>
    <xf numFmtId="164" fontId="6" fillId="0" borderId="7" xfId="1" applyNumberFormat="1" applyFont="1" applyBorder="1" applyAlignment="1">
      <alignment horizontal="center" vertical="center"/>
    </xf>
    <xf numFmtId="171" fontId="0" fillId="0" borderId="7" xfId="0" applyNumberFormat="1" applyBorder="1" applyAlignment="1">
      <alignment vertical="top"/>
    </xf>
    <xf numFmtId="0" fontId="7" fillId="5" borderId="8" xfId="1" applyFont="1" applyFill="1" applyBorder="1" applyAlignment="1">
      <alignment vertical="top" wrapText="1"/>
    </xf>
    <xf numFmtId="0" fontId="7" fillId="5" borderId="9" xfId="1" applyFont="1" applyFill="1" applyBorder="1" applyAlignment="1">
      <alignment horizontal="left" vertical="top" wrapText="1"/>
    </xf>
    <xf numFmtId="169" fontId="7" fillId="5" borderId="9" xfId="1" applyNumberFormat="1" applyFont="1" applyFill="1" applyBorder="1" applyAlignment="1">
      <alignment horizontal="left" vertical="top" wrapText="1"/>
    </xf>
    <xf numFmtId="0" fontId="7" fillId="5" borderId="10" xfId="1" applyFont="1" applyFill="1" applyBorder="1" applyAlignment="1">
      <alignment horizontal="left" vertical="top" wrapText="1"/>
    </xf>
    <xf numFmtId="2" fontId="7" fillId="5" borderId="10" xfId="1" applyNumberFormat="1" applyFont="1" applyFill="1" applyBorder="1" applyAlignment="1">
      <alignment horizontal="center" vertical="top" wrapText="1"/>
    </xf>
    <xf numFmtId="167" fontId="7" fillId="5" borderId="10" xfId="1" applyNumberFormat="1" applyFont="1" applyFill="1" applyBorder="1" applyAlignment="1">
      <alignment horizontal="left" vertical="top" wrapText="1"/>
    </xf>
    <xf numFmtId="164" fontId="7" fillId="5" borderId="10" xfId="1" applyNumberFormat="1" applyFont="1" applyFill="1" applyBorder="1" applyAlignment="1">
      <alignment horizontal="left" vertical="top" wrapText="1"/>
    </xf>
    <xf numFmtId="2" fontId="7" fillId="5" borderId="10" xfId="1" applyNumberFormat="1" applyFont="1" applyFill="1" applyBorder="1" applyAlignment="1">
      <alignment horizontal="left" vertical="top" wrapText="1"/>
    </xf>
    <xf numFmtId="164" fontId="11" fillId="5" borderId="10" xfId="1" applyNumberFormat="1" applyFont="1" applyFill="1" applyBorder="1" applyAlignment="1">
      <alignment horizontal="left" vertical="top" wrapText="1"/>
    </xf>
    <xf numFmtId="164" fontId="7" fillId="5" borderId="11" xfId="1" applyNumberFormat="1" applyFont="1" applyFill="1" applyBorder="1" applyAlignment="1">
      <alignment horizontal="left" vertical="top" wrapText="1"/>
    </xf>
    <xf numFmtId="164" fontId="7" fillId="5" borderId="10" xfId="1" applyNumberFormat="1" applyFont="1" applyFill="1" applyBorder="1" applyAlignment="1">
      <alignment vertical="top" wrapText="1"/>
    </xf>
    <xf numFmtId="166" fontId="8" fillId="0" borderId="7" xfId="3" applyNumberFormat="1" applyFont="1" applyBorder="1" applyAlignment="1">
      <alignment vertical="center" wrapText="1"/>
    </xf>
    <xf numFmtId="166" fontId="8" fillId="0" borderId="4" xfId="3" applyNumberFormat="1" applyFont="1" applyBorder="1" applyAlignment="1">
      <alignment vertical="center" wrapText="1"/>
    </xf>
    <xf numFmtId="166" fontId="5" fillId="0" borderId="4" xfId="1" applyNumberFormat="1" applyFont="1" applyBorder="1" applyAlignment="1">
      <alignment vertical="center"/>
    </xf>
    <xf numFmtId="166" fontId="9" fillId="0" borderId="4" xfId="1" applyNumberFormat="1" applyFont="1" applyBorder="1" applyAlignment="1">
      <alignment vertical="center" wrapText="1"/>
    </xf>
    <xf numFmtId="0" fontId="15" fillId="0" borderId="1" xfId="1" applyFont="1" applyBorder="1" applyAlignment="1">
      <alignment vertical="top" wrapText="1"/>
    </xf>
    <xf numFmtId="0" fontId="16" fillId="0" borderId="2" xfId="1" applyFont="1" applyBorder="1" applyAlignment="1">
      <alignment horizontal="left" vertical="top" wrapText="1"/>
    </xf>
    <xf numFmtId="169" fontId="16" fillId="0" borderId="2" xfId="1" applyNumberFormat="1" applyFont="1" applyBorder="1" applyAlignment="1">
      <alignment horizontal="left" vertical="top" wrapText="1"/>
    </xf>
    <xf numFmtId="0" fontId="16" fillId="0" borderId="3" xfId="1" applyFont="1" applyBorder="1" applyAlignment="1">
      <alignment horizontal="left" vertical="top" wrapText="1"/>
    </xf>
    <xf numFmtId="2" fontId="16" fillId="0" borderId="3" xfId="1" applyNumberFormat="1" applyFont="1" applyBorder="1" applyAlignment="1">
      <alignment horizontal="center" vertical="top" wrapText="1"/>
    </xf>
    <xf numFmtId="167" fontId="16" fillId="0" borderId="3" xfId="1" applyNumberFormat="1" applyFont="1" applyBorder="1" applyAlignment="1">
      <alignment horizontal="left" vertical="top" wrapText="1"/>
    </xf>
    <xf numFmtId="164" fontId="16" fillId="0" borderId="3" xfId="1" applyNumberFormat="1" applyFont="1" applyBorder="1" applyAlignment="1">
      <alignment horizontal="left" vertical="top" wrapText="1"/>
    </xf>
    <xf numFmtId="2" fontId="16" fillId="0" borderId="3" xfId="1" applyNumberFormat="1" applyFont="1" applyBorder="1" applyAlignment="1">
      <alignment horizontal="left" vertical="top" wrapText="1"/>
    </xf>
    <xf numFmtId="164" fontId="16" fillId="0" borderId="7" xfId="1" applyNumberFormat="1" applyFont="1" applyBorder="1" applyAlignment="1">
      <alignment horizontal="left" vertical="top" wrapText="1"/>
    </xf>
    <xf numFmtId="164" fontId="16" fillId="0" borderId="4" xfId="1" applyNumberFormat="1" applyFont="1" applyBorder="1" applyAlignment="1">
      <alignment horizontal="left" vertical="top" wrapText="1"/>
    </xf>
    <xf numFmtId="0" fontId="17" fillId="0" borderId="0" xfId="1" applyFont="1"/>
    <xf numFmtId="166" fontId="18" fillId="6" borderId="4" xfId="1" applyNumberFormat="1" applyFont="1" applyFill="1" applyBorder="1" applyAlignment="1">
      <alignment vertical="center" wrapText="1"/>
    </xf>
    <xf numFmtId="166" fontId="18" fillId="6" borderId="4" xfId="1" applyNumberFormat="1" applyFont="1" applyFill="1" applyBorder="1" applyAlignment="1">
      <alignment horizontal="center" vertical="center" wrapText="1"/>
    </xf>
    <xf numFmtId="169" fontId="18" fillId="6" borderId="4" xfId="1" applyNumberFormat="1" applyFont="1" applyFill="1" applyBorder="1" applyAlignment="1">
      <alignment horizontal="center" vertical="center" wrapText="1"/>
    </xf>
    <xf numFmtId="166" fontId="18" fillId="6" borderId="4" xfId="1" applyNumberFormat="1" applyFont="1" applyFill="1" applyBorder="1" applyAlignment="1">
      <alignment horizontal="center" vertical="center"/>
    </xf>
    <xf numFmtId="2" fontId="18" fillId="6" borderId="4" xfId="1" applyNumberFormat="1" applyFont="1" applyFill="1" applyBorder="1" applyAlignment="1">
      <alignment horizontal="center" vertical="center"/>
    </xf>
    <xf numFmtId="167" fontId="18" fillId="6" borderId="4" xfId="1" applyNumberFormat="1" applyFont="1" applyFill="1" applyBorder="1" applyAlignment="1">
      <alignment horizontal="center" vertical="center"/>
    </xf>
    <xf numFmtId="2" fontId="18" fillId="6" borderId="4" xfId="1" applyNumberFormat="1" applyFont="1" applyFill="1" applyBorder="1" applyAlignment="1">
      <alignment horizontal="center" vertical="center" wrapText="1"/>
    </xf>
    <xf numFmtId="167" fontId="19" fillId="6" borderId="4" xfId="3" applyNumberFormat="1" applyFont="1" applyFill="1" applyBorder="1" applyAlignment="1">
      <alignment horizontal="center" vertical="center" wrapText="1"/>
    </xf>
    <xf numFmtId="166" fontId="19" fillId="6" borderId="4" xfId="3" applyNumberFormat="1" applyFont="1" applyFill="1" applyBorder="1" applyAlignment="1">
      <alignment horizontal="center" vertical="center" wrapText="1"/>
    </xf>
    <xf numFmtId="167" fontId="18" fillId="6" borderId="4" xfId="1" applyNumberFormat="1" applyFont="1" applyFill="1" applyBorder="1" applyAlignment="1">
      <alignment horizontal="center" vertical="center" wrapText="1"/>
    </xf>
    <xf numFmtId="166" fontId="19" fillId="6" borderId="4" xfId="1" applyNumberFormat="1" applyFont="1" applyFill="1" applyBorder="1" applyAlignment="1">
      <alignment horizontal="center" vertical="center"/>
    </xf>
    <xf numFmtId="0" fontId="17" fillId="6" borderId="0" xfId="1" applyFont="1" applyFill="1"/>
    <xf numFmtId="0" fontId="0" fillId="0" borderId="12" xfId="0" applyBorder="1" applyAlignment="1">
      <alignment vertical="center" wrapText="1"/>
    </xf>
    <xf numFmtId="164" fontId="20" fillId="0" borderId="4" xfId="1" applyNumberFormat="1" applyFont="1" applyBorder="1" applyAlignment="1">
      <alignment horizontal="center" vertical="center" wrapText="1"/>
    </xf>
    <xf numFmtId="164" fontId="21" fillId="0" borderId="4" xfId="0" applyNumberFormat="1" applyFont="1" applyBorder="1" applyAlignment="1">
      <alignment horizontal="center" vertical="center" wrapText="1"/>
    </xf>
    <xf numFmtId="164" fontId="20" fillId="0" borderId="4" xfId="1" applyNumberFormat="1" applyFont="1" applyBorder="1" applyAlignment="1">
      <alignment horizontal="center" vertical="center"/>
    </xf>
    <xf numFmtId="164" fontId="17" fillId="0" borderId="4" xfId="3" applyNumberFormat="1" applyFont="1" applyBorder="1" applyAlignment="1">
      <alignment horizontal="center" vertical="center" wrapText="1"/>
    </xf>
    <xf numFmtId="164" fontId="17" fillId="0" borderId="4" xfId="1" applyNumberFormat="1" applyFont="1" applyBorder="1" applyAlignment="1">
      <alignment horizontal="center" vertical="center"/>
    </xf>
    <xf numFmtId="164" fontId="21" fillId="0" borderId="4" xfId="1" applyNumberFormat="1" applyFont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166" fontId="18" fillId="0" borderId="4" xfId="1" applyNumberFormat="1" applyFont="1" applyBorder="1" applyAlignment="1">
      <alignment vertical="center"/>
    </xf>
    <xf numFmtId="166" fontId="18" fillId="0" borderId="4" xfId="1" applyNumberFormat="1" applyFont="1" applyBorder="1" applyAlignment="1">
      <alignment horizontal="center" vertical="center" wrapText="1"/>
    </xf>
    <xf numFmtId="169" fontId="18" fillId="0" borderId="4" xfId="1" applyNumberFormat="1" applyFont="1" applyBorder="1" applyAlignment="1">
      <alignment horizontal="center" vertical="center" wrapText="1"/>
    </xf>
    <xf numFmtId="172" fontId="16" fillId="0" borderId="4" xfId="1" applyNumberFormat="1" applyFont="1" applyBorder="1" applyAlignment="1">
      <alignment horizontal="center" vertical="center"/>
    </xf>
    <xf numFmtId="2" fontId="18" fillId="0" borderId="4" xfId="1" applyNumberFormat="1" applyFont="1" applyBorder="1" applyAlignment="1">
      <alignment horizontal="center" vertical="center"/>
    </xf>
    <xf numFmtId="166" fontId="18" fillId="0" borderId="4" xfId="1" applyNumberFormat="1" applyFont="1" applyBorder="1" applyAlignment="1">
      <alignment horizontal="center" vertical="center"/>
    </xf>
    <xf numFmtId="167" fontId="18" fillId="0" borderId="4" xfId="1" applyNumberFormat="1" applyFont="1" applyBorder="1" applyAlignment="1">
      <alignment horizontal="center" vertical="center"/>
    </xf>
    <xf numFmtId="164" fontId="16" fillId="0" borderId="4" xfId="1" applyNumberFormat="1" applyFont="1" applyBorder="1" applyAlignment="1">
      <alignment horizontal="center" vertical="center"/>
    </xf>
    <xf numFmtId="166" fontId="19" fillId="0" borderId="4" xfId="1" applyNumberFormat="1" applyFont="1" applyBorder="1" applyAlignment="1">
      <alignment horizontal="center" vertical="center"/>
    </xf>
    <xf numFmtId="166" fontId="0" fillId="6" borderId="4" xfId="1" applyNumberFormat="1" applyFont="1" applyFill="1" applyBorder="1" applyAlignment="1">
      <alignment vertical="center" wrapText="1"/>
    </xf>
    <xf numFmtId="164" fontId="20" fillId="6" borderId="4" xfId="1" applyNumberFormat="1" applyFont="1" applyFill="1" applyBorder="1" applyAlignment="1">
      <alignment horizontal="center" vertical="center" wrapText="1"/>
    </xf>
    <xf numFmtId="164" fontId="20" fillId="6" borderId="4" xfId="1" applyNumberFormat="1" applyFont="1" applyFill="1" applyBorder="1" applyAlignment="1">
      <alignment horizontal="center" vertical="center"/>
    </xf>
    <xf numFmtId="164" fontId="17" fillId="6" borderId="4" xfId="1" applyNumberFormat="1" applyFont="1" applyFill="1" applyBorder="1" applyAlignment="1">
      <alignment horizontal="center" vertical="center" wrapText="1"/>
    </xf>
    <xf numFmtId="164" fontId="17" fillId="6" borderId="4" xfId="3" applyNumberFormat="1" applyFont="1" applyFill="1" applyBorder="1" applyAlignment="1">
      <alignment horizontal="center" vertical="center" wrapText="1"/>
    </xf>
    <xf numFmtId="164" fontId="17" fillId="6" borderId="4" xfId="1" applyNumberFormat="1" applyFont="1" applyFill="1" applyBorder="1" applyAlignment="1">
      <alignment horizontal="center" vertical="center"/>
    </xf>
    <xf numFmtId="0" fontId="0" fillId="0" borderId="14" xfId="0" applyBorder="1" applyAlignment="1">
      <alignment vertical="center" wrapText="1"/>
    </xf>
    <xf numFmtId="164" fontId="17" fillId="0" borderId="4" xfId="1" applyNumberFormat="1" applyFont="1" applyBorder="1" applyAlignment="1">
      <alignment horizontal="center" vertical="center" wrapText="1"/>
    </xf>
    <xf numFmtId="164" fontId="22" fillId="0" borderId="4" xfId="1" applyNumberFormat="1" applyFont="1" applyBorder="1" applyAlignment="1">
      <alignment horizontal="center" vertical="center" wrapText="1"/>
    </xf>
    <xf numFmtId="164" fontId="23" fillId="0" borderId="6" xfId="0" applyNumberFormat="1" applyFont="1" applyBorder="1" applyAlignment="1">
      <alignment horizontal="left" vertical="top" wrapText="1"/>
    </xf>
    <xf numFmtId="164" fontId="23" fillId="0" borderId="6" xfId="0" applyNumberFormat="1" applyFont="1" applyBorder="1" applyAlignment="1">
      <alignment horizontal="center" vertical="top" wrapText="1"/>
    </xf>
    <xf numFmtId="164" fontId="22" fillId="0" borderId="4" xfId="0" applyNumberFormat="1" applyFont="1" applyBorder="1" applyAlignment="1">
      <alignment horizontal="center" vertical="top" wrapText="1"/>
    </xf>
    <xf numFmtId="169" fontId="17" fillId="0" borderId="0" xfId="1" applyNumberFormat="1" applyFont="1"/>
    <xf numFmtId="2" fontId="17" fillId="0" borderId="0" xfId="1" applyNumberFormat="1" applyFont="1"/>
    <xf numFmtId="167" fontId="17" fillId="0" borderId="0" xfId="1" applyNumberFormat="1" applyFont="1"/>
    <xf numFmtId="0" fontId="17" fillId="0" borderId="0" xfId="1" applyFont="1" applyAlignment="1">
      <alignment horizontal="left" vertical="top"/>
    </xf>
    <xf numFmtId="164" fontId="17" fillId="0" borderId="0" xfId="1" applyNumberFormat="1" applyFont="1"/>
    <xf numFmtId="169" fontId="20" fillId="0" borderId="4" xfId="1" applyNumberFormat="1" applyFont="1" applyBorder="1" applyAlignment="1">
      <alignment horizontal="center" vertical="center"/>
    </xf>
    <xf numFmtId="169" fontId="18" fillId="0" borderId="4" xfId="1" applyNumberFormat="1" applyFont="1" applyBorder="1" applyAlignment="1">
      <alignment horizontal="center" vertical="center"/>
    </xf>
    <xf numFmtId="169" fontId="20" fillId="6" borderId="4" xfId="1" applyNumberFormat="1" applyFont="1" applyFill="1" applyBorder="1" applyAlignment="1">
      <alignment horizontal="center" vertical="center"/>
    </xf>
    <xf numFmtId="169" fontId="23" fillId="0" borderId="6" xfId="0" applyNumberFormat="1" applyFont="1" applyBorder="1" applyAlignment="1">
      <alignment horizontal="center" vertical="top" wrapText="1"/>
    </xf>
    <xf numFmtId="166" fontId="21" fillId="0" borderId="4" xfId="1" applyNumberFormat="1" applyFont="1" applyBorder="1" applyAlignment="1">
      <alignment horizontal="center" vertical="center" wrapText="1"/>
    </xf>
    <xf numFmtId="164" fontId="9" fillId="0" borderId="4" xfId="1" applyNumberFormat="1" applyFont="1" applyBorder="1" applyAlignment="1">
      <alignment horizontal="center" vertical="center"/>
    </xf>
    <xf numFmtId="171" fontId="14" fillId="0" borderId="4" xfId="1" applyNumberFormat="1" applyFont="1" applyBorder="1" applyAlignment="1">
      <alignment horizontal="right" vertical="top" wrapText="1"/>
    </xf>
    <xf numFmtId="172" fontId="11" fillId="0" borderId="4" xfId="0" applyNumberFormat="1" applyFont="1" applyBorder="1" applyAlignment="1">
      <alignment horizontal="center" vertical="top" wrapText="1"/>
    </xf>
    <xf numFmtId="166" fontId="5" fillId="0" borderId="4" xfId="1" applyNumberFormat="1" applyFont="1" applyFill="1" applyBorder="1" applyAlignment="1">
      <alignment vertical="center" wrapText="1"/>
    </xf>
  </cellXfs>
  <cellStyles count="4">
    <cellStyle name="Currency 2" xfId="2" xr:uid="{3816B9EC-60D6-49B0-8DA7-1ADB0A838A2B}"/>
    <cellStyle name="Normal" xfId="0" builtinId="0"/>
    <cellStyle name="Normal 3" xfId="1" xr:uid="{CFC877CA-C328-4122-BC37-70F663C3CEAB}"/>
    <cellStyle name="Normal 4" xfId="3" xr:uid="{851DEF85-D74C-431E-8608-E49ED0A9F527}"/>
  </cellStyles>
  <dxfs count="19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1" formatCode="&quot;$&quot;#,##0.00"/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72" formatCode="0.000000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9" formatCode="0.0000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9" formatCode="0.0000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00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0.0%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0.000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0.000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0.000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0.000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0.0%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0.000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0.000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00%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0000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9" formatCode="0.0000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family val="2"/>
        <scheme val="minor"/>
      </font>
      <numFmt numFmtId="164" formatCode="0.00000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numFmt numFmtId="166" formatCode="0.0000000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0.00000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166" formatCode="0.000000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0.00000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6" formatCode="0.000000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0.00000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6" formatCode="0.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0.00000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7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0.00000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6" formatCode="0.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0.00000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6" formatCode="0.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0.00000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7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0.00000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6" formatCode="0.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0.00000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6" formatCode="0.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0.00000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0.00000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6" formatCode="0.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0.00000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6" formatCode="0.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0.00000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0.00000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6" formatCode="0.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0.00000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6" formatCode="0.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0.00000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7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0.00000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6" formatCode="0.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0.00000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6" formatCode="0.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9" formatCode="0.0000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0.00000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6" formatCode="0.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0.00000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6" formatCode="0.00000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0.00000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9" formatCode="0.0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0.00000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6" formatCode="0.00000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6" formatCode="0.00000000"/>
      <fill>
        <patternFill patternType="none">
          <bgColor auto="1"/>
        </patternFill>
      </fill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none"/>
      </font>
      <fill>
        <patternFill patternType="none">
          <fgColor rgb="FF000000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numFmt numFmtId="166" formatCode="0.0000000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border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9" formatCode="0.0000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6" formatCode="0.0000000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9" formatCode="0.0000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0.000000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9" formatCode="0.0000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0.000000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9" formatCode="0.0000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0.000000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0.0%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0.000000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00000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00000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00000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0.000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0.000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00000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0.000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0.000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00000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00000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0.0%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00000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0.0%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0.000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0.000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00%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00000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00%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00000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0000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0000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9" formatCode="0.0000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0.0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0000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0000000"/>
      <fill>
        <patternFill patternType="none">
          <bgColor auto="1"/>
        </patternFill>
      </fill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rgb="FF000000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6" formatCode="0.0000000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border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0.00000000"/>
      <fill>
        <patternFill patternType="none"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6" formatCode="0.00000000"/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0.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0.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00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00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0000000"/>
      <fill>
        <patternFill patternType="none">
          <bgColor auto="1"/>
        </patternFill>
      </fill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rgb="FF000000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0.0000000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34998626667073579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2" defaultPivotStyle="PivotStyleLight16">
    <tableStyle name="Table Style 1" pivot="0" count="0" xr9:uid="{27D68BDC-047D-4231-9FDE-FCFCB603954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3DBD1A-4948-4407-8995-6275DEE1C98D}" name="Table1353434" displayName="Table1353434" ref="A1:AJ45" totalsRowCount="1" headerRowDxfId="161" dataDxfId="159" totalsRowDxfId="158" headerRowBorderDxfId="160" totalsRowBorderDxfId="157" dataCellStyle="Normal 3">
  <autoFilter ref="A1:AJ44" xr:uid="{A68E7ABB-6C94-4C5C-922C-F8EC596B0571}"/>
  <sortState xmlns:xlrd2="http://schemas.microsoft.com/office/spreadsheetml/2017/richdata2" ref="A2:AE29">
    <sortCondition descending="1" ref="S2:S30"/>
  </sortState>
  <tableColumns count="36">
    <tableColumn id="2" xr3:uid="{D78AC19B-5591-4291-BED6-744EC17A9C43}" name="Lessor" totalsRowLabel="Total" dataDxfId="156" totalsRowDxfId="155" dataCellStyle="Normal 3"/>
    <tableColumn id="15" xr3:uid="{DD0AF562-3114-467A-BEB7-CC8C8FEDEC89}" name="Tr. 1 Mineral Interest" totalsRowFunction="custom" dataDxfId="154" totalsRowDxfId="153" dataCellStyle="Normal 3">
      <totalsRowFormula>SUM(B2:B44)</totalsRowFormula>
    </tableColumn>
    <tableColumn id="5" xr3:uid="{B28C1899-958C-48FD-A9B7-D2BF99C5012B}" name="Tr. 1 _x000a_Gross Acreage" dataDxfId="152" totalsRowDxfId="151" dataCellStyle="Normal 3"/>
    <tableColumn id="10" xr3:uid="{1CC1DA46-DC93-4E24-9E28-682D70D83569}" name="Tr. 1 Mineral Acres" totalsRowFunction="sum" dataDxfId="150" totalsRowDxfId="149" dataCellStyle="Normal 3">
      <calculatedColumnFormula>Table1353434[[#This Row],[Tr. 1 
Gross Acreage]]*Table1353434[[#This Row],[Tr. 1 Mineral Interest]]</calculatedColumnFormula>
    </tableColumn>
    <tableColumn id="34" xr3:uid="{238D2BC0-9152-46D4-877E-A748C96C60E6}" name="Tr. 2_x000a_Mineral Interest" totalsRowFunction="sum" dataDxfId="148" totalsRowDxfId="147" dataCellStyle="Normal 3"/>
    <tableColumn id="17" xr3:uid="{3079B021-8CC5-6C42-93CD-403B291B873E}" name="Tr.2 NPR 1 Adjusted" dataDxfId="146" totalsRowDxfId="145" dataCellStyle="Normal 3"/>
    <tableColumn id="35" xr3:uid="{1D8548F5-6944-4331-95A3-094DD22C6F66}" name="Tr. 2 _x000a_Gross Acreage" dataDxfId="144" totalsRowDxfId="143" dataCellStyle="Normal 3"/>
    <tableColumn id="36" xr3:uid="{80AA1B26-92A8-4263-A028-CFFCCD80AF5C}" name="Tr. 2 Mineral Acres" totalsRowFunction="sum" dataDxfId="142" totalsRowDxfId="141" dataCellStyle="Normal 3"/>
    <tableColumn id="23" xr3:uid="{72A4096E-9B4A-4527-8CF9-FB085670E3E7}" name="Tr.3 Mineral Interest" totalsRowFunction="sum" dataDxfId="140" totalsRowDxfId="139" dataCellStyle="Normal 3"/>
    <tableColumn id="18" xr3:uid="{3E2311E6-807B-1C42-A4CD-F92532F3377A}" name="Tr.3 NPR 1 Adjusted" dataDxfId="138" totalsRowDxfId="137" dataCellStyle="Normal 3"/>
    <tableColumn id="24" xr3:uid="{29E85CDE-63C1-4550-8DC6-61D3243F913C}" name="Tr. 3 Gross Acreage" dataDxfId="136" totalsRowDxfId="135" dataCellStyle="Normal 3"/>
    <tableColumn id="28" xr3:uid="{E6F46254-AF96-465D-AF80-BB70A7CB23FD}" name="Tr. 3 Mineral Acres" totalsRowFunction="custom" dataDxfId="134" totalsRowDxfId="133" dataCellStyle="Normal 3">
      <calculatedColumnFormula>Table1353434[[#This Row],[Tr. 3 Gross Acreage]]*Table1353434[[#This Row],[Tr.3 Mineral Interest]]</calculatedColumnFormula>
      <totalsRowFormula>SUM(L2:L44)</totalsRowFormula>
    </tableColumn>
    <tableColumn id="12" xr3:uid="{192624C9-4E83-4436-B266-A18D5C589429}" name="Tr. 4 Mineral Interest" totalsRowFunction="sum" dataDxfId="132" totalsRowDxfId="131" dataCellStyle="Normal 3"/>
    <tableColumn id="16" xr3:uid="{D92E4C7E-47E3-8B43-BCC1-D6AE69998BD8}" name="Tr. 4 NPR 2 Adjusted" dataDxfId="130" totalsRowDxfId="129" dataCellStyle="Normal 3"/>
    <tableColumn id="19" xr3:uid="{D83AD36C-5470-4D8F-BAB2-7AB04A2E20DC}" name="Tr. 4 Gross Acreage" dataDxfId="128" totalsRowDxfId="127" dataCellStyle="Normal 3"/>
    <tableColumn id="1" xr3:uid="{54F26DEB-3973-4D3F-81AF-B855BF97CCF1}" name="Tr. 4 Mineral Acres" totalsRowFunction="custom" dataDxfId="126" totalsRowDxfId="125" dataCellStyle="Normal 3">
      <calculatedColumnFormula>Table1353434[[#This Row],[Tr. 4 Gross Acreage]]*Table1353434[[#This Row],[Tr. 4 Mineral Interest]]</calculatedColumnFormula>
      <totalsRowFormula>SUM(P2:P44)</totalsRowFormula>
    </tableColumn>
    <tableColumn id="3" xr3:uid="{59F284BC-49A7-4C40-B442-1923B1EE8E86}" name="Tr.5 Mineral Interest" totalsRowFunction="custom" dataDxfId="124" totalsRowDxfId="123" dataCellStyle="Normal 3">
      <totalsRowFormula>SUM(Q2:Q44)</totalsRowFormula>
    </tableColumn>
    <tableColumn id="22" xr3:uid="{87D7EC81-30CB-D04C-B298-43A44D1A65FB}" name="Tr.5 NPR 1 Adjusted" dataDxfId="122" totalsRowDxfId="121" dataCellStyle="Normal 3"/>
    <tableColumn id="4" xr3:uid="{3C320FA0-5B0C-4EA7-A529-70559F9AD880}" name="Tr. 5 Gross Acreage" dataDxfId="120" totalsRowDxfId="119" dataCellStyle="Normal 3"/>
    <tableColumn id="21" xr3:uid="{4C78B49B-69B3-4999-A37C-B6843484197F}" name="Tr. 5 Mineral Acres" totalsRowFunction="custom" dataDxfId="118" totalsRowDxfId="117" dataCellStyle="Normal 3">
      <calculatedColumnFormula>Table1353434[[#This Row],[Tr. 5 Gross Acreage]]*Table1353434[[#This Row],[Tr.5 Mineral Interest]]</calculatedColumnFormula>
      <totalsRowFormula>SUM(T2:T44)</totalsRowFormula>
    </tableColumn>
    <tableColumn id="13" xr3:uid="{94413673-8B92-4727-B166-736D305E8CF8}" name="Tr. 6 Mineral Interest" totalsRowFunction="custom" dataDxfId="116" totalsRowDxfId="115" dataCellStyle="Normal 3">
      <totalsRowFormula>SUM(U2:U44)</totalsRowFormula>
    </tableColumn>
    <tableColumn id="26" xr3:uid="{D95C0D41-7C12-EC42-9BEE-CF2E09665F0B}" name="Tr.6 NPR 1 Adjusted" dataDxfId="114" totalsRowDxfId="113" dataCellStyle="Normal 3"/>
    <tableColumn id="25" xr3:uid="{CE1596A8-01D3-48D7-8474-0AA49DA51046}" name="Tr. 6 Gross Acreage" dataDxfId="112" totalsRowDxfId="111" dataCellStyle="Normal 3"/>
    <tableColumn id="20" xr3:uid="{0629548D-3BC4-4B81-8DEA-0E0BD62C820D}" name="Tr. 6 Mineral Acres" totalsRowFunction="custom" dataDxfId="110" totalsRowDxfId="109" dataCellStyle="Normal 3">
      <calculatedColumnFormula>W2*U2</calculatedColumnFormula>
      <totalsRowFormula>SUM(X2:X44)</totalsRowFormula>
    </tableColumn>
    <tableColumn id="31" xr3:uid="{7F94AB84-472C-4256-B2CA-D9B181453C66}" name="Tr. 7 Mineral Interest" totalsRowFunction="custom" dataDxfId="108" totalsRowDxfId="107" dataCellStyle="Normal 3">
      <calculatedColumnFormula>Table1353434[[#This Row],[Tr. 6 Mineral Acres]]*Table1353434[[#This Row],[Tr. 6 Gross Acreage]]</calculatedColumnFormula>
      <totalsRowFormula>SUM(Y2:Y44)</totalsRowFormula>
    </tableColumn>
    <tableColumn id="14" xr3:uid="{BCB38C57-8D9D-BA48-8955-0F65E9FB03EE}" name="Tr.7 NPR 2 Adjusted" dataDxfId="106" totalsRowDxfId="105" dataCellStyle="Normal 3"/>
    <tableColumn id="32" xr3:uid="{2887F863-E026-4716-9AF7-FCF7D3FF7A85}" name="Tr. 7 Gross Acreage" dataDxfId="104" totalsRowDxfId="103" dataCellStyle="Normal 3"/>
    <tableColumn id="33" xr3:uid="{DB39E023-D5D2-4089-879F-A85E14016537}" name="Tr. 7 Mineral Acres" totalsRowFunction="custom" dataDxfId="102" totalsRowDxfId="101" dataCellStyle="Normal 3">
      <calculatedColumnFormula>Table1353434[[#This Row],[Tr. 7 Gross Acreage]]*Table1353434[[#This Row],[Tr. 7 Mineral Interest]]</calculatedColumnFormula>
      <totalsRowFormula>SUM(AB2:AB44)</totalsRowFormula>
    </tableColumn>
    <tableColumn id="6" xr3:uid="{51EC14A7-1655-46D5-AF50-9154F25DF6F8}" name="Unit Totals" totalsRowFunction="custom" dataDxfId="100" totalsRowDxfId="99" dataCellStyle="Normal 3">
      <calculatedColumnFormula>Table1353434[[#This Row],[Tr. 1 Mineral Acres]]+Table1353434[[#This Row],[Tr. 2 Mineral Acres]]+Table1353434[[#This Row],[Tr. 3 Mineral Acres]]+Table1353434[[#This Row],[Tr. 4 Mineral Acres]]+Table1353434[[#This Row],[Tr. 5 Mineral Acres]]+Table1353434[[#This Row],[Tr. 6 Mineral Acres]]+Table1353434[[#This Row],[Tr. 7 Mineral Acres]]</calculatedColumnFormula>
      <totalsRowFormula>SUM(AC2:AC44)</totalsRowFormula>
    </tableColumn>
    <tableColumn id="27" xr3:uid="{2046386E-DE88-C24A-93D4-1F4287334A9D}" name="Unit Totals NPR 2 Adjusted" dataDxfId="98" totalsRowDxfId="97" dataCellStyle="Normal 3"/>
    <tableColumn id="11" xr3:uid="{4255B20E-65D6-49BB-8475-74756391903E}" name="Lease Status" totalsRowFunction="custom" dataDxfId="96" totalsRowDxfId="95" dataCellStyle="Normal 3">
      <totalsRowFormula>240.2823/276.12</totalsRowFormula>
    </tableColumn>
    <tableColumn id="7" xr3:uid="{3E9FF232-A6C6-4399-9ABA-9EC498B24559}" name="Lease Roy." dataDxfId="94" totalsRowDxfId="93" dataCellStyle="Normal 3"/>
    <tableColumn id="8" xr3:uid="{899389BD-BCE6-4143-B82D-A5A8F3996DBD}" name="NRI AC." totalsRowFunction="custom" dataDxfId="92" totalsRowDxfId="91" dataCellStyle="Normal 3">
      <calculatedColumnFormula>Table1353434[[#This Row],[Lease Roy.]]*Table1353434[[#This Row],[Unit Totals]]</calculatedColumnFormula>
      <totalsRowFormula>SUM(AG2:AG44)/Table1353434[[#Totals],[Unit Totals]]</totalsRowFormula>
    </tableColumn>
    <tableColumn id="29" xr3:uid="{67D4E489-0CB6-5F4E-8785-768F29AE856E}" name="NRI AC  NPR 1" dataDxfId="90" totalsRowDxfId="89" dataCellStyle="Normal 3"/>
    <tableColumn id="9" xr3:uid="{D01837A2-9501-DB46-888F-38A48932FFB7}" name="NRI AC  NPR 2" dataDxfId="88" totalsRowDxfId="87" dataCellStyle="Normal 3"/>
    <tableColumn id="37" xr3:uid="{9D67C8A8-4C61-41A5-A5FA-C58006A6CEBE}" name="Comments" totalsRowFunction="custom" dataDxfId="86" totalsRowDxfId="85" dataCellStyle="Normal 3">
      <totalsRowFormula>1-Table1353434[[#Totals],[NRI AC.]]</totalsRowFormula>
    </tableColumn>
  </tableColumns>
  <tableStyleInfo name="Table Style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447C6F-E81B-4907-AC68-AA89A4346A12}" name="Table13534343" displayName="Table13534343" ref="A1:AD46" totalsRowCount="1" headerRowDxfId="196" dataDxfId="194" totalsRowDxfId="193" headerRowBorderDxfId="195" totalsRowBorderDxfId="192" dataCellStyle="Normal 3">
  <autoFilter ref="A1:AD45" xr:uid="{A68E7ABB-6C94-4C5C-922C-F8EC596B0571}"/>
  <sortState xmlns:xlrd2="http://schemas.microsoft.com/office/spreadsheetml/2017/richdata2" ref="A2:X29">
    <sortCondition descending="1" ref="O2:O30"/>
  </sortState>
  <tableColumns count="30">
    <tableColumn id="2" xr3:uid="{403DE3A4-A396-4587-8E99-D99366D2670C}" name="Lessor" totalsRowLabel="Total" dataDxfId="191" totalsRowDxfId="29" dataCellStyle="Normal 3"/>
    <tableColumn id="15" xr3:uid="{5E08BB01-FDE6-458F-9D0B-CE619B00042F}" name="Tr. 1 Mineral Interest" totalsRowFunction="custom" dataDxfId="190" totalsRowDxfId="28" dataCellStyle="Normal 3">
      <totalsRowFormula>SUM(B2:B45)</totalsRowFormula>
    </tableColumn>
    <tableColumn id="5" xr3:uid="{C189EF4D-8988-4D70-ACD5-DE13A3B2BBE3}" name="Tr. 1 _x000a_Gross Acreage" dataDxfId="189" totalsRowDxfId="27" dataCellStyle="Normal 3"/>
    <tableColumn id="10" xr3:uid="{74C7B14F-6A74-40C1-B5D7-60A3361652C1}" name="Tr. 1 Mineral Acres" totalsRowFunction="sum" dataDxfId="188" totalsRowDxfId="26" dataCellStyle="Normal 3">
      <calculatedColumnFormula>Table13534343[[#This Row],[Tr. 1 
Gross Acreage]]*Table13534343[[#This Row],[Tr. 1 Mineral Interest]]</calculatedColumnFormula>
    </tableColumn>
    <tableColumn id="34" xr3:uid="{369319B0-3E8B-49BC-9440-CAEA4FBB264F}" name="Tr. 2_x000a_Mineral Interest" totalsRowFunction="sum" dataDxfId="187" totalsRowDxfId="25" dataCellStyle="Normal 3"/>
    <tableColumn id="35" xr3:uid="{8122FECB-D659-4B41-8997-7480979A3CE0}" name="Tr. 2 _x000a_Gross Acreage" dataDxfId="186" totalsRowDxfId="24" dataCellStyle="Normal 3"/>
    <tableColumn id="36" xr3:uid="{8B38B612-8124-4E74-989D-F7E720F0537E}" name="Tr. 2 Mineral Acres" totalsRowFunction="sum" dataDxfId="185" totalsRowDxfId="23" dataCellStyle="Normal 3"/>
    <tableColumn id="23" xr3:uid="{4655471D-04DE-4659-B325-476D634213A1}" name="Tr.3 Mineral Interest" totalsRowFunction="sum" dataDxfId="184" totalsRowDxfId="22" dataCellStyle="Normal 3"/>
    <tableColumn id="24" xr3:uid="{D76558DA-F949-429B-97A9-B906C5EF9B85}" name="Tr. 3 _x000a_Gross Acreage" dataDxfId="183" totalsRowDxfId="21" dataCellStyle="Normal 3"/>
    <tableColumn id="28" xr3:uid="{DDA35A7D-72F4-43F5-BF6E-3A30B0030AFC}" name="Tr. 3 Mineral Acres" totalsRowFunction="custom" dataDxfId="182" totalsRowDxfId="20" dataCellStyle="Normal 3">
      <calculatedColumnFormula>Table13534343[[#This Row],[Tr. 3 
Gross Acreage]]*Table13534343[[#This Row],[Tr.3 Mineral Interest]]</calculatedColumnFormula>
      <totalsRowFormula>SUM(J2:J45)</totalsRowFormula>
    </tableColumn>
    <tableColumn id="12" xr3:uid="{A9EBE8D7-E581-4B73-BA36-FD087CE53C2E}" name="Tr. 4 Mineral Interest" totalsRowFunction="sum" dataDxfId="181" totalsRowDxfId="19" dataCellStyle="Normal 3"/>
    <tableColumn id="19" xr3:uid="{3E0038B1-B4FD-4B61-B51F-989CEA364541}" name="Tr. 4 _x000a_Gross Acreage" dataDxfId="180" totalsRowDxfId="18" dataCellStyle="Normal 3"/>
    <tableColumn id="1" xr3:uid="{D9067DA8-6A8E-407B-8A79-4F29FD46623A}" name="Tr. 4 Mineral Acres" totalsRowFunction="custom" dataDxfId="179" totalsRowDxfId="17" dataCellStyle="Normal 3">
      <calculatedColumnFormula>Table13534343[[#This Row],[Tr. 4 
Gross Acreage]]*Table13534343[[#This Row],[Tr. 4 Mineral Interest]]</calculatedColumnFormula>
      <totalsRowFormula>SUM(M2:M45)</totalsRowFormula>
    </tableColumn>
    <tableColumn id="3" xr3:uid="{29BAD4E7-1E80-42D3-9F7D-237BB714DD4D}" name="Tr.5 Mineral Interest" totalsRowFunction="custom" dataDxfId="178" totalsRowDxfId="16" dataCellStyle="Normal 3">
      <totalsRowFormula>SUM(N2:N45)</totalsRowFormula>
    </tableColumn>
    <tableColumn id="4" xr3:uid="{C6A21EE3-C03D-4F1A-8E43-EDA882BF599A}" name="Tr. 5 _x000a_Gross Acreage" dataDxfId="177" totalsRowDxfId="15" dataCellStyle="Normal 3"/>
    <tableColumn id="21" xr3:uid="{EE880B54-6354-4AAB-9EDC-AAC1A2E3E5A8}" name="Tr. 5 Mineral Acres" totalsRowFunction="custom" dataDxfId="176" totalsRowDxfId="14" dataCellStyle="Normal 3">
      <calculatedColumnFormula>Table13534343[[#This Row],[Tr. 5 
Gross Acreage]]*Table13534343[[#This Row],[Tr.5 Mineral Interest]]</calculatedColumnFormula>
      <totalsRowFormula>SUM(P2:P45)</totalsRowFormula>
    </tableColumn>
    <tableColumn id="13" xr3:uid="{7C7B409B-C558-42C1-B977-810FBE6FE728}" name="Tr. 6 Mineral Interest" totalsRowFunction="custom" dataDxfId="175" totalsRowDxfId="13" dataCellStyle="Normal 3">
      <totalsRowFormula>SUM(Q2:Q45)</totalsRowFormula>
    </tableColumn>
    <tableColumn id="25" xr3:uid="{B435C2C6-ED1E-4FDD-9E31-3983E3843942}" name="Tr. 6 _x000a_Gross Acreage" dataDxfId="174" totalsRowDxfId="12" dataCellStyle="Normal 3"/>
    <tableColumn id="20" xr3:uid="{26B6FA8F-F8D8-4A87-8183-743D4A80E2CC}" name="Tr. 6 Mineral Acres" totalsRowFunction="custom" dataDxfId="173" totalsRowDxfId="11" dataCellStyle="Normal 3">
      <calculatedColumnFormula>R2*Q2</calculatedColumnFormula>
      <totalsRowFormula>SUM(S2:S45)</totalsRowFormula>
    </tableColumn>
    <tableColumn id="31" xr3:uid="{A17698C8-8496-4856-ACFB-B983A249F4C0}" name="Tr. 7 Mineral Interest" totalsRowFunction="custom" dataDxfId="172" totalsRowDxfId="10" dataCellStyle="Normal 3">
      <calculatedColumnFormula>Table13534343[[#This Row],[Tr. 6 Mineral Acres]]*Table13534343[[#This Row],[Tr. 6 
Gross Acreage]]</calculatedColumnFormula>
      <totalsRowFormula>SUM(T2:T45)</totalsRowFormula>
    </tableColumn>
    <tableColumn id="32" xr3:uid="{53479216-CA3F-4F15-8D3A-55231A6E2BB7}" name="Tr. 7 _x000a_Gross Acreage" dataDxfId="171" totalsRowDxfId="9" dataCellStyle="Normal 3"/>
    <tableColumn id="33" xr3:uid="{81122D0E-F0BF-4836-A26F-778D04BDA5CB}" name="Tr. 7 Mineral Acres" totalsRowFunction="custom" dataDxfId="170" totalsRowDxfId="8" dataCellStyle="Normal 3">
      <calculatedColumnFormula>Table13534343[[#This Row],[Tr. 7 
Gross Acreage]]*Table13534343[[#This Row],[Tr. 7 Mineral Interest]]</calculatedColumnFormula>
      <totalsRowFormula>SUM(V2:V45)</totalsRowFormula>
    </tableColumn>
    <tableColumn id="6" xr3:uid="{C90EFD46-A467-42CD-A885-936ADFB644CC}" name="Unit Totals" totalsRowFunction="custom" dataDxfId="169" totalsRowDxfId="7" dataCellStyle="Normal 3">
      <calculatedColumnFormula>Table13534343[[#This Row],[Tr. 1 Mineral Acres]]+Table13534343[[#This Row],[Tr. 2 Mineral Acres]]+Table13534343[[#This Row],[Tr. 3 Mineral Acres]]+Table13534343[[#This Row],[Tr. 4 Mineral Acres]]+Table13534343[[#This Row],[Tr. 5 Mineral Acres]]+Table13534343[[#This Row],[Tr. 6 Mineral Acres]]+Table13534343[[#This Row],[Tr. 7 Mineral Acres]]</calculatedColumnFormula>
      <totalsRowFormula>SUM(W2:W45)</totalsRowFormula>
    </tableColumn>
    <tableColumn id="11" xr3:uid="{149E310A-30BB-400A-9A25-C6A88A556BBF}" name="Lease Status" totalsRowFunction="custom" dataDxfId="168" totalsRowDxfId="6" dataCellStyle="Normal 3">
      <totalsRowFormula>240.2823/276.12</totalsRowFormula>
    </tableColumn>
    <tableColumn id="7" xr3:uid="{946944D6-151F-4849-8891-3BF0DF520F83}" name="Lease Roy." dataDxfId="167" totalsRowDxfId="5" dataCellStyle="Normal 3"/>
    <tableColumn id="8" xr3:uid="{58A35BBE-EAC1-4A50-9E20-C93DE60D5C15}" name="NRI AC." totalsRowFunction="custom" dataDxfId="166" totalsRowDxfId="4" dataCellStyle="Normal 3">
      <calculatedColumnFormula>Table13534343[[#This Row],[Lease Roy.]]*Table13534343[[#This Row],[Unit Totals]]</calculatedColumnFormula>
      <totalsRowFormula>SUM(Z2:Z45)</totalsRowFormula>
    </tableColumn>
    <tableColumn id="29" xr3:uid="{0BDDD890-4D65-4653-AC30-CE291DD378CC}" name="NRI AC  NPR 1" dataDxfId="165" totalsRowDxfId="3" dataCellStyle="Normal 3"/>
    <tableColumn id="9" xr3:uid="{1140F6CC-19A7-4D80-8EF6-9497290CBB1D}" name="NRI AC  NPR 2" totalsRowFunction="sum" dataDxfId="164" totalsRowDxfId="2" dataCellStyle="Normal 3"/>
    <tableColumn id="37" xr3:uid="{F2200B29-7B50-4114-916E-9F4AFE73EC86}" name="Comments" totalsRowFunction="custom" dataDxfId="163" totalsRowDxfId="1" dataCellStyle="Normal 3">
      <totalsRowFormula>1-Table13534343[[#Totals],[NRI AC.]]/276.12</totalsRowFormula>
    </tableColumn>
    <tableColumn id="14" xr3:uid="{882E8FF9-DC9F-4499-8827-BA4D830377C8}" name="Bonus Paid" totalsRowFunction="sum" dataDxfId="162" totalsRowDxfId="0" dataCellStyle="Normal 3"/>
  </tableColumns>
  <tableStyleInfo name="Table Style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F1A3EC3-D047-4FBC-B718-93EDC4D8F376}" name="Table135343434" displayName="Table135343434" ref="A1:Y39" totalsRowCount="1" headerRowDxfId="84" dataDxfId="82" totalsRowDxfId="81" headerRowBorderDxfId="83" totalsRowBorderDxfId="80" dataCellStyle="Normal 3">
  <autoFilter ref="A1:Y38" xr:uid="{A68E7ABB-6C94-4C5C-922C-F8EC596B0571}"/>
  <tableColumns count="25">
    <tableColumn id="2" xr3:uid="{D28A0EC2-B098-4D80-AB84-A8E71B019228}" name="Owner" totalsRowLabel="Total" dataDxfId="79" totalsRowDxfId="78" dataCellStyle="Normal 3"/>
    <tableColumn id="15" xr3:uid="{79328C7D-3D58-49C8-9CBF-C44064FC24FA}" name="Tr. 1 _x000a_NPR Interest" dataDxfId="77" totalsRowDxfId="76" dataCellStyle="Normal 3"/>
    <tableColumn id="5" xr3:uid="{E9897506-6F68-45CF-A8F6-308BDAC7F9E4}" name="Tr. 1 _x000a_Gross Acreage" dataDxfId="75" totalsRowDxfId="74" dataCellStyle="Normal 3"/>
    <tableColumn id="10" xr3:uid="{74861723-7DFC-4B70-BC30-066FEB26063B}" name="Tr. 1 _x000a_NPR Acres" dataDxfId="73" totalsRowDxfId="72" dataCellStyle="Normal 3">
      <calculatedColumnFormula>Table135343434[[#This Row],[Tr. 1 
Gross Acreage]]*Table135343434[[#This Row],[Tr. 1 
NPR Interest]]</calculatedColumnFormula>
    </tableColumn>
    <tableColumn id="34" xr3:uid="{B9E8A0BB-93EB-4D40-A428-1246B25C47C0}" name="Tr. 2_x000a_NPR Interest" dataDxfId="71" totalsRowDxfId="70" dataCellStyle="Normal 3"/>
    <tableColumn id="35" xr3:uid="{7FB431CD-48C1-4AEF-9672-41DFA632C82E}" name="Tr. 2 _x000a_Gross Acreage" dataDxfId="69" totalsRowDxfId="68" dataCellStyle="Normal 3"/>
    <tableColumn id="36" xr3:uid="{F958E554-1E72-4D45-90E2-BDF1023721C5}" name="Tr. 2 _x000a_NPR Acres" dataDxfId="67" totalsRowDxfId="66" dataCellStyle="Normal 3"/>
    <tableColumn id="23" xr3:uid="{BD5EC8B3-EA2F-4D3E-A680-B47DC37A25F1}" name="Tract 3 NPR Interest" dataDxfId="65" totalsRowDxfId="64" dataCellStyle="Normal 3"/>
    <tableColumn id="24" xr3:uid="{DD7AAF7B-E7F6-4AB1-BBF7-3CEE35B609E4}" name="Tr. 3 Gross Acreage" dataDxfId="63" totalsRowDxfId="62" dataCellStyle="Normal 3"/>
    <tableColumn id="28" xr3:uid="{501D6022-F46C-437D-A138-FE0DD686BC82}" name="Tr. 3 _x000a_NPR Acres" dataDxfId="61" totalsRowDxfId="60" dataCellStyle="Normal 3">
      <calculatedColumnFormula>Table135343434[[#This Row],[Tr. 3 Gross Acreage]]*Table135343434[[#This Row],[Tract 3 NPR Interest]]</calculatedColumnFormula>
    </tableColumn>
    <tableColumn id="12" xr3:uid="{14C84154-ECF7-4959-8D8B-31D8B930FFF8}" name="Tract 4 NPR Interest" totalsRowFunction="sum" dataDxfId="59" totalsRowDxfId="58" dataCellStyle="Normal 3"/>
    <tableColumn id="19" xr3:uid="{3D3E3034-D000-4607-A2F9-989ABF7D9238}" name="Tr. 4 Gross Acreage" dataDxfId="57" totalsRowDxfId="56" dataCellStyle="Normal 3"/>
    <tableColumn id="1" xr3:uid="{082B40B9-567B-44DC-B9F8-7D4CCA527AD8}" name="Tr. 4 _x000a_NPR Acres" totalsRowFunction="custom" dataDxfId="55" totalsRowDxfId="54" dataCellStyle="Normal 3">
      <calculatedColumnFormula>Table135343434[[#This Row],[Tr. 4 Gross Acreage]]*Table135343434[[#This Row],[Tract 4 NPR Interest]]</calculatedColumnFormula>
      <totalsRowFormula>SUM(M2:M38)</totalsRowFormula>
    </tableColumn>
    <tableColumn id="3" xr3:uid="{FC6AAD34-1DB5-40DE-8DA0-3B88C757A1B6}" name="Tract 5 NPR Interest" dataDxfId="53" totalsRowDxfId="52" dataCellStyle="Normal 3"/>
    <tableColumn id="4" xr3:uid="{0AF22DAF-AE75-457A-A910-5B2BEEC98379}" name="Tr. 5 Gross Acreage" dataDxfId="51" totalsRowDxfId="50" dataCellStyle="Normal 3"/>
    <tableColumn id="21" xr3:uid="{BE02D9A8-4D4B-452B-BA48-C830669E2548}" name="Tr. 5 _x000a_NPR Acres" dataDxfId="49" totalsRowDxfId="48" dataCellStyle="Normal 3">
      <calculatedColumnFormula>Table135343434[[#This Row],[Tr. 5 Gross Acreage]]*Table135343434[[#This Row],[Tract 5 NPR Interest]]</calculatedColumnFormula>
    </tableColumn>
    <tableColumn id="13" xr3:uid="{B33440AB-65F8-412F-A971-F190A20A16B9}" name="Tract 6 NPR Interest" dataDxfId="47" totalsRowDxfId="46" dataCellStyle="Normal 3"/>
    <tableColumn id="25" xr3:uid="{B220E614-1851-49C2-9C11-508E208EADD5}" name="Tr. 6 Gross Acreage" dataDxfId="45" totalsRowDxfId="44" dataCellStyle="Normal 3"/>
    <tableColumn id="20" xr3:uid="{26AF91D5-0AE3-449B-93BB-1359E0FCA98F}" name="Tr. 6 NPR Acres" dataDxfId="43" totalsRowDxfId="42" dataCellStyle="Normal 3">
      <calculatedColumnFormula>R2*Q2</calculatedColumnFormula>
    </tableColumn>
    <tableColumn id="31" xr3:uid="{EE026BA3-9499-4227-B395-733ACC00B481}" name="Tract 7 NPR Interest" totalsRowFunction="custom" dataDxfId="41" totalsRowDxfId="40" dataCellStyle="Normal 3">
      <calculatedColumnFormula>Table135343434[[#This Row],[Tr. 6 NPR Acres]]*Table135343434[[#This Row],[Tr. 6 Gross Acreage]]</calculatedColumnFormula>
      <totalsRowFormula>SUM(T2:T38)</totalsRowFormula>
    </tableColumn>
    <tableColumn id="32" xr3:uid="{2AA6406E-E20D-4AE8-868F-85510411574B}" name="Tr. 7 Gross Acreage" dataDxfId="39" totalsRowDxfId="38" dataCellStyle="Normal 3"/>
    <tableColumn id="33" xr3:uid="{20DE68B9-43C4-4745-A8AB-6371796A3FFE}" name="Tr. 7 _x000a_NPR Acres" totalsRowFunction="sum" dataDxfId="37" totalsRowDxfId="36" dataCellStyle="Normal 3">
      <calculatedColumnFormula>Table135343434[[#This Row],[Tr. 7 Gross Acreage]]*Table135343434[[#This Row],[Tract 7 NPR Interest]]</calculatedColumnFormula>
    </tableColumn>
    <tableColumn id="6" xr3:uid="{49FD7B1C-D1EB-4397-8F24-8D2195F5D244}" name="Unit Totals" totalsRowFunction="custom" dataDxfId="35" totalsRowDxfId="34" dataCellStyle="Normal 3">
      <calculatedColumnFormula>Table135343434[[#This Row],[Tr. 1 
NPR Acres]]+Table135343434[[#This Row],[Tr. 2 
NPR Acres]]+Table135343434[[#This Row],[Tr. 3 
NPR Acres]]+Table135343434[[#This Row],[Tr. 4 
NPR Acres]]+Table135343434[[#This Row],[Tr. 5 
NPR Acres]]+Table135343434[[#This Row],[Tr. 6 NPR Acres]]+Table135343434[[#This Row],[Tr. 7 
NPR Acres]]</calculatedColumnFormula>
      <totalsRowFormula>Table135343434[[#Totals],[Tr. 7 
NPR Acres]]+Table135343434[[#Totals],[Tr. 4 
NPR Acres]]</totalsRowFormula>
    </tableColumn>
    <tableColumn id="8" xr3:uid="{0B58AEE6-9B75-431D-9AD0-827AC3718954}" name="NRI AC." dataDxfId="33" totalsRowDxfId="32" dataCellStyle="Normal 3">
      <calculatedColumnFormula>#REF!*Table135343434[[#This Row],[Unit Totals]]</calculatedColumnFormula>
    </tableColumn>
    <tableColumn id="37" xr3:uid="{F93D59FC-09E2-43F2-9325-4E845CE61D25}" name="Comments" dataDxfId="31" totalsRowDxfId="30" dataCellStyle="Normal 3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 bwMode="auto">
        <a:solidFill>
          <a:srgbClr val="FFFFFF"/>
        </a:solidFill>
        <a:ln w="9525">
          <a:noFill/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650F7-44A2-4FC3-B7B2-80343D438723}">
  <sheetPr>
    <pageSetUpPr fitToPage="1"/>
  </sheetPr>
  <dimension ref="A1:AJ47"/>
  <sheetViews>
    <sheetView topLeftCell="D1" zoomScale="90" zoomScaleNormal="90" workbookViewId="0">
      <pane ySplit="1" topLeftCell="A2" activePane="bottomLeft" state="frozen"/>
      <selection pane="bottomLeft" activeCell="AI2" sqref="AI2"/>
    </sheetView>
  </sheetViews>
  <sheetFormatPr defaultColWidth="9" defaultRowHeight="14.25" x14ac:dyDescent="0.45"/>
  <cols>
    <col min="1" max="1" width="37.796875" style="24" customWidth="1"/>
    <col min="2" max="2" width="14.796875" style="24" customWidth="1"/>
    <col min="3" max="3" width="14.796875" style="55" customWidth="1"/>
    <col min="4" max="6" width="14.796875" style="24" customWidth="1"/>
    <col min="7" max="7" width="17.33203125" style="56" customWidth="1"/>
    <col min="8" max="10" width="14.796875" style="24" customWidth="1"/>
    <col min="11" max="11" width="14.796875" style="57" customWidth="1"/>
    <col min="12" max="14" width="14.796875" style="24" customWidth="1"/>
    <col min="15" max="15" width="14.796875" style="56" customWidth="1"/>
    <col min="16" max="18" width="14.796875" style="24" customWidth="1"/>
    <col min="19" max="19" width="14.796875" style="56" customWidth="1"/>
    <col min="20" max="22" width="14.796875" style="24" customWidth="1"/>
    <col min="23" max="23" width="14.796875" style="57" customWidth="1"/>
    <col min="24" max="26" width="14.796875" style="24" customWidth="1"/>
    <col min="27" max="27" width="14.796875" style="57" customWidth="1"/>
    <col min="28" max="28" width="14.796875" style="24" customWidth="1"/>
    <col min="29" max="30" width="14.19921875" style="24" customWidth="1"/>
    <col min="31" max="31" width="13.796875" style="24" customWidth="1"/>
    <col min="32" max="32" width="15" style="24" customWidth="1"/>
    <col min="33" max="35" width="14.33203125" style="24" customWidth="1"/>
    <col min="36" max="36" width="28.59765625" style="58" customWidth="1"/>
    <col min="37" max="16384" width="9" style="24"/>
  </cols>
  <sheetData>
    <row r="1" spans="1:36" ht="28.5" x14ac:dyDescent="0.45">
      <c r="A1" s="14" t="s">
        <v>0</v>
      </c>
      <c r="B1" s="15" t="s">
        <v>1</v>
      </c>
      <c r="C1" s="16" t="s">
        <v>2</v>
      </c>
      <c r="D1" s="15" t="s">
        <v>3</v>
      </c>
      <c r="E1" s="17" t="s">
        <v>4</v>
      </c>
      <c r="F1" s="71" t="s">
        <v>96</v>
      </c>
      <c r="G1" s="18" t="s">
        <v>5</v>
      </c>
      <c r="H1" s="17" t="s">
        <v>6</v>
      </c>
      <c r="I1" s="17" t="s">
        <v>84</v>
      </c>
      <c r="J1" s="71" t="s">
        <v>95</v>
      </c>
      <c r="K1" s="19" t="s">
        <v>7</v>
      </c>
      <c r="L1" s="20" t="s">
        <v>8</v>
      </c>
      <c r="M1" s="17" t="s">
        <v>85</v>
      </c>
      <c r="N1" s="71" t="s">
        <v>90</v>
      </c>
      <c r="O1" s="21" t="s">
        <v>9</v>
      </c>
      <c r="P1" s="20" t="s">
        <v>10</v>
      </c>
      <c r="Q1" s="17" t="s">
        <v>86</v>
      </c>
      <c r="R1" s="71" t="s">
        <v>94</v>
      </c>
      <c r="S1" s="21" t="s">
        <v>11</v>
      </c>
      <c r="T1" s="20" t="s">
        <v>12</v>
      </c>
      <c r="U1" s="17" t="s">
        <v>87</v>
      </c>
      <c r="V1" s="71" t="s">
        <v>97</v>
      </c>
      <c r="W1" s="19" t="s">
        <v>13</v>
      </c>
      <c r="X1" s="20" t="s">
        <v>14</v>
      </c>
      <c r="Y1" s="17" t="s">
        <v>88</v>
      </c>
      <c r="Z1" s="71" t="s">
        <v>91</v>
      </c>
      <c r="AA1" s="19" t="s">
        <v>15</v>
      </c>
      <c r="AB1" s="20" t="s">
        <v>16</v>
      </c>
      <c r="AC1" s="20" t="s">
        <v>55</v>
      </c>
      <c r="AD1" s="72" t="s">
        <v>92</v>
      </c>
      <c r="AE1" s="20" t="s">
        <v>17</v>
      </c>
      <c r="AF1" s="22" t="s">
        <v>74</v>
      </c>
      <c r="AG1" s="22" t="s">
        <v>75</v>
      </c>
      <c r="AH1" s="22" t="s">
        <v>99</v>
      </c>
      <c r="AI1" s="22" t="s">
        <v>100</v>
      </c>
      <c r="AJ1" s="23" t="s">
        <v>18</v>
      </c>
    </row>
    <row r="2" spans="1:36" ht="85.5" x14ac:dyDescent="0.45">
      <c r="A2" s="25" t="s">
        <v>19</v>
      </c>
      <c r="B2" s="26">
        <v>0.5</v>
      </c>
      <c r="C2" s="27">
        <v>55.501600000000003</v>
      </c>
      <c r="D2" s="26">
        <f>Table1353434[[#This Row],[Tr. 1 
Gross Acreage]]*Table1353434[[#This Row],[Tr. 1 Mineral Interest]]</f>
        <v>27.750800000000002</v>
      </c>
      <c r="E2" s="28">
        <v>0.20238095</v>
      </c>
      <c r="F2" s="28"/>
      <c r="G2" s="29">
        <v>106.19</v>
      </c>
      <c r="H2" s="28">
        <f>Table1353434[[#This Row],[Tr. 2 
Gross Acreage]]*Table1353434[[#This Row],[Tr. 2
Mineral Interest]]</f>
        <v>21.4908330805</v>
      </c>
      <c r="I2" s="26">
        <v>0.20238095</v>
      </c>
      <c r="J2" s="26"/>
      <c r="K2" s="30">
        <v>28.222999999999999</v>
      </c>
      <c r="L2" s="31">
        <f>Table1353434[[#This Row],[Tr. 3 Gross Acreage]]*Table1353434[[#This Row],[Tr.3 Mineral Interest]]</f>
        <v>5.7117975518500002</v>
      </c>
      <c r="M2" s="32">
        <v>0.5</v>
      </c>
      <c r="N2" s="63">
        <v>0.4375</v>
      </c>
      <c r="O2" s="33">
        <v>14.64</v>
      </c>
      <c r="P2" s="34">
        <f>Table1353434[[#This Row],[Tr. 4 Gross Acreage]]*Table1353434[[#This Row],[Tr. 4 Mineral Interest]]</f>
        <v>7.32</v>
      </c>
      <c r="Q2" s="31">
        <v>0.20238095</v>
      </c>
      <c r="R2" s="31"/>
      <c r="S2" s="33">
        <v>8.44</v>
      </c>
      <c r="T2" s="34">
        <f>Table1353434[[#This Row],[Tr. 5 Gross Acreage]]*Table1353434[[#This Row],[Tr.5 Mineral Interest]]</f>
        <v>1.708095218</v>
      </c>
      <c r="U2" s="31">
        <v>0.20238095</v>
      </c>
      <c r="V2" s="31"/>
      <c r="W2" s="35">
        <v>42.581000000000003</v>
      </c>
      <c r="X2" s="34">
        <f>W2*U2</f>
        <v>8.6175832319500003</v>
      </c>
      <c r="Y2" s="36">
        <v>0.75</v>
      </c>
      <c r="Z2" s="62">
        <v>0.6875</v>
      </c>
      <c r="AA2" s="35">
        <v>20.545999999999999</v>
      </c>
      <c r="AB2" s="34">
        <f>Table1353434[[#This Row],[Tr. 7 Gross Acreage]]*Table1353434[[#This Row],[Tr. 7 Mineral Interest]]</f>
        <v>15.4095</v>
      </c>
      <c r="AC2" s="34">
        <f>Table1353434[[#This Row],[Tr. 1 Mineral Acres]]+Table1353434[[#This Row],[Tr. 2 Mineral Acres]]+Table1353434[[#This Row],[Tr. 3 Mineral Acres]]+Table1353434[[#This Row],[Tr. 4 Mineral Acres]]+Table1353434[[#This Row],[Tr. 5 Mineral Acres]]+Table1353434[[#This Row],[Tr. 6 Mineral Acres]]+Table1353434[[#This Row],[Tr. 7 Mineral Acres]]</f>
        <v>88.008609082299998</v>
      </c>
      <c r="AD2" s="61">
        <f>Table1353434[[#This Row],[Tr. 1 Mineral Acres]]+Table1353434[[#This Row],[Tr. 2 Mineral Acres]]+Table1353434[[#This Row],[Tr. 3 Mineral Acres]]+(Table1353434[[#This Row],[Tr. 4 NPR 2 Adjusted]]*Table1353434[[#This Row],[Tr. 4 Gross Acreage]])+Table1353434[[#This Row],[Tr. 5 Mineral Acres]]+(Table1353434[[#This Row],[Tr.7 NPR 2 Adjusted]]*Table1353434[[#This Row],[Tr. 7 Gross Acreage]])</f>
        <v>77.191900850349995</v>
      </c>
      <c r="AE2" s="37" t="s">
        <v>57</v>
      </c>
      <c r="AF2" s="38">
        <v>0.2</v>
      </c>
      <c r="AG2" s="38">
        <f>Table1353434[[#This Row],[Lease Roy.]]*Table1353434[[#This Row],[Unit Totals]]</f>
        <v>17.60172181646</v>
      </c>
      <c r="AH2" s="38"/>
      <c r="AI2" s="53">
        <f>Table1353434[[#This Row],[Lease Roy.]]*Table1353434[[#This Row],[Unit Totals NPR 2 Adjusted]]</f>
        <v>15.438380170069999</v>
      </c>
      <c r="AJ2" s="34"/>
    </row>
    <row r="3" spans="1:36" ht="57" x14ac:dyDescent="0.45">
      <c r="A3" s="25" t="s">
        <v>22</v>
      </c>
      <c r="B3" s="26"/>
      <c r="C3" s="27"/>
      <c r="D3" s="26"/>
      <c r="E3" s="36">
        <f>0.2202381/3</f>
        <v>7.3412699999999997E-2</v>
      </c>
      <c r="F3" s="60">
        <v>6.820437E-2</v>
      </c>
      <c r="G3" s="29">
        <v>106.19</v>
      </c>
      <c r="H3" s="28">
        <f>Table1353434[[#This Row],[Tr. 2 
Gross Acreage]]*Table1353434[[#This Row],[Tr. 2
Mineral Interest]]</f>
        <v>7.7956946129999993</v>
      </c>
      <c r="I3" s="36">
        <f>0.2202381/3</f>
        <v>7.3412699999999997E-2</v>
      </c>
      <c r="J3" s="60">
        <v>6.820437E-2</v>
      </c>
      <c r="K3" s="30">
        <v>28.222999999999999</v>
      </c>
      <c r="L3" s="31">
        <f>Table1353434[[#This Row],[Tr. 3 Gross Acreage]]*Table1353434[[#This Row],[Tr.3 Mineral Interest]]</f>
        <v>2.0719266320999998</v>
      </c>
      <c r="M3" s="31"/>
      <c r="N3" s="31"/>
      <c r="O3" s="29"/>
      <c r="P3" s="34"/>
      <c r="Q3" s="36">
        <f>0.2202381/3</f>
        <v>7.3412699999999997E-2</v>
      </c>
      <c r="R3" s="60">
        <v>6.820437E-2</v>
      </c>
      <c r="S3" s="33">
        <v>8.44</v>
      </c>
      <c r="T3" s="34">
        <f>Table1353434[[#This Row],[Tr. 5 Gross Acreage]]*Table1353434[[#This Row],[Tr.5 Mineral Interest]]</f>
        <v>0.61960318799999992</v>
      </c>
      <c r="U3" s="36">
        <f>0.2202381/3</f>
        <v>7.3412699999999997E-2</v>
      </c>
      <c r="V3" s="60">
        <v>6.820437E-2</v>
      </c>
      <c r="W3" s="40">
        <v>42.581000000000003</v>
      </c>
      <c r="X3" s="34">
        <f>W3*U3</f>
        <v>3.1259861787000003</v>
      </c>
      <c r="Y3" s="31"/>
      <c r="Z3" s="31"/>
      <c r="AA3" s="35"/>
      <c r="AB3" s="34"/>
      <c r="AC3" s="34">
        <f>Table1353434[[#This Row],[Tr. 1 Mineral Acres]]+Table1353434[[#This Row],[Tr. 2 Mineral Acres]]+Table1353434[[#This Row],[Tr. 3 Mineral Acres]]+Table1353434[[#This Row],[Tr. 4 Mineral Acres]]+Table1353434[[#This Row],[Tr. 5 Mineral Acres]]+Table1353434[[#This Row],[Tr. 6 Mineral Acres]]+Table1353434[[#This Row],[Tr. 7 Mineral Acres]]</f>
        <v>13.613210611799998</v>
      </c>
      <c r="AD3" s="61">
        <f>(Table1353434[[#This Row],[Tr.2 NPR 1 Adjusted]]*Table1353434[[#This Row],[Tr. 2 
Gross Acreage]])+(Table1353434[[#This Row],[Tr.3 NPR 1 Adjusted]]*Table1353434[[#This Row],[Tr. 3 Gross Acreage]])+(Table1353434[[#This Row],[Tr.5 NPR 1 Adjusted]]*Table1353434[[#This Row],[Tr. 5 Gross Acreage]])+(Table1353434[[#This Row],[Tr.6 NPR 1 Adjusted]]*Table1353434[[#This Row],[Tr. 6 Gross Acreage]])</f>
        <v>12.647409146579999</v>
      </c>
      <c r="AE3" s="37" t="s">
        <v>57</v>
      </c>
      <c r="AF3" s="38">
        <v>0.2</v>
      </c>
      <c r="AG3" s="38">
        <f>Table1353434[[#This Row],[Lease Roy.]]*Table1353434[[#This Row],[Unit Totals]]</f>
        <v>2.7226421223599999</v>
      </c>
      <c r="AH3" s="38"/>
      <c r="AI3" s="53">
        <f>Table1353434[[#This Row],[Lease Roy.]]*Table1353434[[#This Row],[Unit Totals NPR 2 Adjusted]]</f>
        <v>2.529481829316</v>
      </c>
      <c r="AJ3" s="34"/>
    </row>
    <row r="4" spans="1:36" ht="71.25" x14ac:dyDescent="0.45">
      <c r="A4" s="39" t="s">
        <v>23</v>
      </c>
      <c r="B4" s="31"/>
      <c r="C4" s="41"/>
      <c r="D4" s="31"/>
      <c r="E4" s="36">
        <f>0.2202381/3</f>
        <v>7.3412699999999997E-2</v>
      </c>
      <c r="F4" s="60">
        <v>6.820437E-2</v>
      </c>
      <c r="G4" s="29">
        <v>106.19</v>
      </c>
      <c r="H4" s="28">
        <f>Table1353434[[#This Row],[Tr. 2 
Gross Acreage]]*Table1353434[[#This Row],[Tr. 2
Mineral Interest]]</f>
        <v>7.7956946129999993</v>
      </c>
      <c r="I4" s="36">
        <f>0.2202381/3</f>
        <v>7.3412699999999997E-2</v>
      </c>
      <c r="J4" s="60">
        <v>6.820437E-2</v>
      </c>
      <c r="K4" s="30">
        <v>28.222999999999999</v>
      </c>
      <c r="L4" s="31">
        <f>Table1353434[[#This Row],[Tr. 3 Gross Acreage]]*Table1353434[[#This Row],[Tr.3 Mineral Interest]]</f>
        <v>2.0719266320999998</v>
      </c>
      <c r="M4" s="28"/>
      <c r="N4" s="28"/>
      <c r="O4" s="29"/>
      <c r="P4" s="28"/>
      <c r="Q4" s="36">
        <f>0.2202381/3</f>
        <v>7.3412699999999997E-2</v>
      </c>
      <c r="R4" s="60">
        <v>6.820437E-2</v>
      </c>
      <c r="S4" s="33">
        <v>8.44</v>
      </c>
      <c r="T4" s="28">
        <f>Table1353434[[#This Row],[Tr. 5 Gross Acreage]]*Table1353434[[#This Row],[Tr.5 Mineral Interest]]</f>
        <v>0.61960318799999992</v>
      </c>
      <c r="U4" s="36">
        <f>0.2202381/3</f>
        <v>7.3412699999999997E-2</v>
      </c>
      <c r="V4" s="60">
        <v>6.820437E-2</v>
      </c>
      <c r="W4" s="30">
        <v>42.581000000000003</v>
      </c>
      <c r="X4" s="34">
        <f>W4*U4</f>
        <v>3.1259861787000003</v>
      </c>
      <c r="Y4" s="31"/>
      <c r="Z4" s="31"/>
      <c r="AA4" s="35"/>
      <c r="AB4" s="28"/>
      <c r="AC4" s="28">
        <f>Table1353434[[#This Row],[Tr. 1 Mineral Acres]]+Table1353434[[#This Row],[Tr. 2 Mineral Acres]]+Table1353434[[#This Row],[Tr. 3 Mineral Acres]]+Table1353434[[#This Row],[Tr. 4 Mineral Acres]]+Table1353434[[#This Row],[Tr. 5 Mineral Acres]]+Table1353434[[#This Row],[Tr. 6 Mineral Acres]]+Table1353434[[#This Row],[Tr. 7 Mineral Acres]]</f>
        <v>13.613210611799998</v>
      </c>
      <c r="AD4" s="61">
        <f>(Table1353434[[#This Row],[Tr.2 NPR 1 Adjusted]]*Table1353434[[#This Row],[Tr. 2 
Gross Acreage]])+(Table1353434[[#This Row],[Tr.3 NPR 1 Adjusted]]*Table1353434[[#This Row],[Tr. 3 Gross Acreage]])+(Table1353434[[#This Row],[Tr.5 NPR 1 Adjusted]]*Table1353434[[#This Row],[Tr. 5 Gross Acreage]])+(Table1353434[[#This Row],[Tr.6 NPR 1 Adjusted]]*Table1353434[[#This Row],[Tr. 6 Gross Acreage]])</f>
        <v>12.647409146579999</v>
      </c>
      <c r="AE4" s="37" t="s">
        <v>57</v>
      </c>
      <c r="AF4" s="38">
        <v>0.2</v>
      </c>
      <c r="AG4" s="38">
        <f>Table1353434[[#This Row],[Lease Roy.]]*Table1353434[[#This Row],[Unit Totals]]</f>
        <v>2.7226421223599999</v>
      </c>
      <c r="AH4" s="38"/>
      <c r="AI4" s="53">
        <f>Table1353434[[#This Row],[Lease Roy.]]*Table1353434[[#This Row],[Unit Totals NPR 2 Adjusted]]</f>
        <v>2.529481829316</v>
      </c>
      <c r="AJ4" s="34"/>
    </row>
    <row r="5" spans="1:36" ht="57" x14ac:dyDescent="0.45">
      <c r="A5" s="39" t="s">
        <v>24</v>
      </c>
      <c r="B5" s="31"/>
      <c r="C5" s="41"/>
      <c r="D5" s="31"/>
      <c r="E5" s="36">
        <f>0.2202381/3</f>
        <v>7.3412699999999997E-2</v>
      </c>
      <c r="F5" s="60">
        <v>6.820437E-2</v>
      </c>
      <c r="G5" s="29">
        <v>106.19</v>
      </c>
      <c r="H5" s="28">
        <f>Table1353434[[#This Row],[Tr. 2 
Gross Acreage]]*Table1353434[[#This Row],[Tr. 2
Mineral Interest]]</f>
        <v>7.7956946129999993</v>
      </c>
      <c r="I5" s="36">
        <f>0.2202381/3</f>
        <v>7.3412699999999997E-2</v>
      </c>
      <c r="J5" s="60">
        <v>6.820437E-2</v>
      </c>
      <c r="K5" s="30">
        <v>28.222999999999999</v>
      </c>
      <c r="L5" s="31">
        <f>Table1353434[[#This Row],[Tr. 3 Gross Acreage]]*Table1353434[[#This Row],[Tr.3 Mineral Interest]]</f>
        <v>2.0719266320999998</v>
      </c>
      <c r="M5" s="28"/>
      <c r="N5" s="28"/>
      <c r="O5" s="29"/>
      <c r="P5" s="28"/>
      <c r="Q5" s="36">
        <f>0.2202381/3</f>
        <v>7.3412699999999997E-2</v>
      </c>
      <c r="R5" s="60">
        <v>6.820437E-2</v>
      </c>
      <c r="S5" s="33">
        <v>8.44</v>
      </c>
      <c r="T5" s="28">
        <f>Table1353434[[#This Row],[Tr. 5 Gross Acreage]]*Table1353434[[#This Row],[Tr.5 Mineral Interest]]</f>
        <v>0.61960318799999992</v>
      </c>
      <c r="U5" s="36">
        <f>0.2202381/3</f>
        <v>7.3412699999999997E-2</v>
      </c>
      <c r="V5" s="60">
        <v>6.820437E-2</v>
      </c>
      <c r="W5" s="30">
        <v>42.581000000000003</v>
      </c>
      <c r="X5" s="34">
        <f>W5*U5</f>
        <v>3.1259861787000003</v>
      </c>
      <c r="Y5" s="31"/>
      <c r="Z5" s="31"/>
      <c r="AA5" s="35"/>
      <c r="AB5" s="28"/>
      <c r="AC5" s="28">
        <f>Table1353434[[#This Row],[Tr. 1 Mineral Acres]]+Table1353434[[#This Row],[Tr. 2 Mineral Acres]]+Table1353434[[#This Row],[Tr. 3 Mineral Acres]]+Table1353434[[#This Row],[Tr. 4 Mineral Acres]]+Table1353434[[#This Row],[Tr. 5 Mineral Acres]]+Table1353434[[#This Row],[Tr. 6 Mineral Acres]]+Table1353434[[#This Row],[Tr. 7 Mineral Acres]]</f>
        <v>13.613210611799998</v>
      </c>
      <c r="AD5" s="61">
        <f>(Table1353434[[#This Row],[Tr.2 NPR 1 Adjusted]]*Table1353434[[#This Row],[Tr. 2 
Gross Acreage]])+(Table1353434[[#This Row],[Tr.3 NPR 1 Adjusted]]*Table1353434[[#This Row],[Tr. 3 Gross Acreage]])+(Table1353434[[#This Row],[Tr.5 NPR 1 Adjusted]]*Table1353434[[#This Row],[Tr. 5 Gross Acreage]])+(Table1353434[[#This Row],[Tr.6 NPR 1 Adjusted]]*Table1353434[[#This Row],[Tr. 6 Gross Acreage]])</f>
        <v>12.647409146579999</v>
      </c>
      <c r="AE5" s="37" t="s">
        <v>57</v>
      </c>
      <c r="AF5" s="38">
        <v>0.2</v>
      </c>
      <c r="AG5" s="38">
        <f>Table1353434[[#This Row],[Lease Roy.]]*Table1353434[[#This Row],[Unit Totals]]</f>
        <v>2.7226421223599999</v>
      </c>
      <c r="AH5" s="38"/>
      <c r="AI5" s="53">
        <f>Table1353434[[#This Row],[Lease Roy.]]*Table1353434[[#This Row],[Unit Totals NPR 2 Adjusted]]</f>
        <v>2.529481829316</v>
      </c>
      <c r="AJ5" s="34"/>
    </row>
    <row r="6" spans="1:36" ht="71.25" x14ac:dyDescent="0.45">
      <c r="A6" s="39" t="s">
        <v>20</v>
      </c>
      <c r="B6" s="31">
        <v>0.25</v>
      </c>
      <c r="C6" s="27">
        <v>55.501600000000003</v>
      </c>
      <c r="D6" s="26">
        <f>Table1353434[[#This Row],[Tr. 1 
Gross Acreage]]*Table1353434[[#This Row],[Tr. 1 Mineral Interest]]</f>
        <v>13.875400000000001</v>
      </c>
      <c r="E6" s="28"/>
      <c r="F6" s="28"/>
      <c r="G6" s="29"/>
      <c r="H6" s="28"/>
      <c r="I6" s="28"/>
      <c r="J6" s="28" t="s">
        <v>89</v>
      </c>
      <c r="K6" s="30"/>
      <c r="L6" s="31"/>
      <c r="M6" s="31"/>
      <c r="N6" s="31"/>
      <c r="O6" s="33"/>
      <c r="P6" s="34"/>
      <c r="Q6" s="31"/>
      <c r="R6" s="31"/>
      <c r="S6" s="33"/>
      <c r="T6" s="34"/>
      <c r="U6" s="31"/>
      <c r="V6" s="31"/>
      <c r="W6" s="35"/>
      <c r="X6" s="34"/>
      <c r="Y6" s="31"/>
      <c r="Z6" s="31"/>
      <c r="AA6" s="35"/>
      <c r="AB6" s="34"/>
      <c r="AC6" s="34">
        <f>Table1353434[[#This Row],[Tr. 1 Mineral Acres]]+Table1353434[[#This Row],[Tr. 2 Mineral Acres]]+Table1353434[[#This Row],[Tr. 3 Mineral Acres]]+Table1353434[[#This Row],[Tr. 4 Mineral Acres]]+Table1353434[[#This Row],[Tr. 5 Mineral Acres]]+Table1353434[[#This Row],[Tr. 6 Mineral Acres]]+Table1353434[[#This Row],[Tr. 7 Mineral Acres]]</f>
        <v>13.875400000000001</v>
      </c>
      <c r="AD6" s="34"/>
      <c r="AE6" s="37" t="s">
        <v>57</v>
      </c>
      <c r="AF6" s="38">
        <v>0.25</v>
      </c>
      <c r="AG6" s="38">
        <f>Table1353434[[#This Row],[Lease Roy.]]*Table1353434[[#This Row],[Unit Totals]]</f>
        <v>3.4688500000000002</v>
      </c>
      <c r="AH6" s="38"/>
      <c r="AI6" s="38"/>
      <c r="AJ6" s="34"/>
    </row>
    <row r="7" spans="1:36" ht="57" x14ac:dyDescent="0.45">
      <c r="A7" s="39" t="s">
        <v>21</v>
      </c>
      <c r="B7" s="31">
        <v>0.25</v>
      </c>
      <c r="C7" s="27">
        <v>55.501600000000003</v>
      </c>
      <c r="D7" s="26">
        <f>Table1353434[[#This Row],[Tr. 1 
Gross Acreage]]*Table1353434[[#This Row],[Tr. 1 Mineral Interest]]</f>
        <v>13.875400000000001</v>
      </c>
      <c r="E7" s="28"/>
      <c r="F7" s="28"/>
      <c r="G7" s="29"/>
      <c r="H7" s="28"/>
      <c r="I7" s="28"/>
      <c r="J7" s="28"/>
      <c r="K7" s="30"/>
      <c r="L7" s="31"/>
      <c r="M7" s="31"/>
      <c r="N7" s="31"/>
      <c r="O7" s="33"/>
      <c r="P7" s="34"/>
      <c r="Q7" s="31"/>
      <c r="R7" s="31"/>
      <c r="S7" s="33"/>
      <c r="T7" s="34"/>
      <c r="U7" s="31"/>
      <c r="V7" s="31"/>
      <c r="W7" s="35"/>
      <c r="X7" s="34"/>
      <c r="Y7" s="31"/>
      <c r="Z7" s="31"/>
      <c r="AA7" s="35"/>
      <c r="AB7" s="34"/>
      <c r="AC7" s="34">
        <f>Table1353434[[#This Row],[Tr. 1 Mineral Acres]]+Table1353434[[#This Row],[Tr. 2 Mineral Acres]]+Table1353434[[#This Row],[Tr. 3 Mineral Acres]]+Table1353434[[#This Row],[Tr. 4 Mineral Acres]]+Table1353434[[#This Row],[Tr. 5 Mineral Acres]]+Table1353434[[#This Row],[Tr. 6 Mineral Acres]]+Table1353434[[#This Row],[Tr. 7 Mineral Acres]]</f>
        <v>13.875400000000001</v>
      </c>
      <c r="AD7" s="34"/>
      <c r="AE7" s="37" t="s">
        <v>57</v>
      </c>
      <c r="AF7" s="38">
        <v>0.25</v>
      </c>
      <c r="AG7" s="38">
        <f>Table1353434[[#This Row],[Lease Roy.]]*Table1353434[[#This Row],[Unit Totals]]</f>
        <v>3.4688500000000002</v>
      </c>
      <c r="AH7" s="38"/>
      <c r="AI7" s="38"/>
      <c r="AJ7" s="34"/>
    </row>
    <row r="8" spans="1:36" ht="57" x14ac:dyDescent="0.45">
      <c r="A8" s="25" t="s">
        <v>25</v>
      </c>
      <c r="B8" s="26"/>
      <c r="C8" s="27"/>
      <c r="D8" s="26"/>
      <c r="E8" s="28">
        <v>0.20238095</v>
      </c>
      <c r="F8" s="28"/>
      <c r="G8" s="29">
        <v>106.19</v>
      </c>
      <c r="H8" s="28">
        <f>Table1353434[[#This Row],[Tr. 2 
Gross Acreage]]*Table1353434[[#This Row],[Tr. 2
Mineral Interest]]</f>
        <v>21.4908330805</v>
      </c>
      <c r="I8" s="26">
        <v>7.7380950000000004E-2</v>
      </c>
      <c r="J8" s="26"/>
      <c r="K8" s="30">
        <v>28.222999999999999</v>
      </c>
      <c r="L8" s="31">
        <f>Table1353434[[#This Row],[Tr. 3 Gross Acreage]]*Table1353434[[#This Row],[Tr.3 Mineral Interest]]</f>
        <v>2.1839225518499998</v>
      </c>
      <c r="M8" s="31"/>
      <c r="N8" s="31"/>
      <c r="O8" s="33"/>
      <c r="P8" s="34"/>
      <c r="Q8" s="31"/>
      <c r="R8" s="31"/>
      <c r="S8" s="33"/>
      <c r="T8" s="34"/>
      <c r="U8" s="31">
        <v>0.20238095</v>
      </c>
      <c r="V8" s="31"/>
      <c r="W8" s="40">
        <v>42.581000000000003</v>
      </c>
      <c r="X8" s="34">
        <f t="shared" ref="X8:X25" si="0">W8*U8</f>
        <v>8.6175832319500003</v>
      </c>
      <c r="Y8" s="31"/>
      <c r="Z8" s="31"/>
      <c r="AA8" s="35"/>
      <c r="AB8" s="34"/>
      <c r="AC8" s="34">
        <f>Table1353434[[#This Row],[Tr. 1 Mineral Acres]]+Table1353434[[#This Row],[Tr. 2 Mineral Acres]]+Table1353434[[#This Row],[Tr. 3 Mineral Acres]]+Table1353434[[#This Row],[Tr. 4 Mineral Acres]]+Table1353434[[#This Row],[Tr. 5 Mineral Acres]]+Table1353434[[#This Row],[Tr. 6 Mineral Acres]]+Table1353434[[#This Row],[Tr. 7 Mineral Acres]]</f>
        <v>32.2923388643</v>
      </c>
      <c r="AD8" s="34"/>
      <c r="AE8" s="37" t="s">
        <v>57</v>
      </c>
      <c r="AF8" s="38">
        <v>0.2</v>
      </c>
      <c r="AG8" s="38">
        <f>Table1353434[[#This Row],[Lease Roy.]]*Table1353434[[#This Row],[Unit Totals]]</f>
        <v>6.4584677728600006</v>
      </c>
      <c r="AH8" s="38"/>
      <c r="AI8" s="38"/>
      <c r="AJ8" s="34"/>
    </row>
    <row r="9" spans="1:36" ht="57" x14ac:dyDescent="0.45">
      <c r="A9" s="25" t="s">
        <v>26</v>
      </c>
      <c r="B9" s="26"/>
      <c r="C9" s="27"/>
      <c r="D9" s="26"/>
      <c r="E9" s="28">
        <v>3.3730160000000002E-2</v>
      </c>
      <c r="F9" s="28"/>
      <c r="G9" s="29">
        <v>106.19</v>
      </c>
      <c r="H9" s="28">
        <f>Table1353434[[#This Row],[Tr. 2 
Gross Acreage]]*Table1353434[[#This Row],[Tr. 2
Mineral Interest]]</f>
        <v>3.5818056904</v>
      </c>
      <c r="I9" s="28">
        <v>3.3730160000000002E-2</v>
      </c>
      <c r="J9" s="28"/>
      <c r="K9" s="30">
        <v>28.222999999999999</v>
      </c>
      <c r="L9" s="31">
        <f>Table1353434[[#This Row],[Tr. 3 Gross Acreage]]*Table1353434[[#This Row],[Tr.3 Mineral Interest]]</f>
        <v>0.95196630568000007</v>
      </c>
      <c r="M9" s="31"/>
      <c r="N9" s="52">
        <f>1/6/1/16</f>
        <v>1.0416666666666666E-2</v>
      </c>
      <c r="O9" s="33"/>
      <c r="P9" s="34"/>
      <c r="Q9" s="28">
        <v>3.3730160000000002E-2</v>
      </c>
      <c r="R9" s="28"/>
      <c r="S9" s="33">
        <v>8.44</v>
      </c>
      <c r="T9" s="34">
        <f>Table1353434[[#This Row],[Tr. 5 Gross Acreage]]*Table1353434[[#This Row],[Tr.5 Mineral Interest]]</f>
        <v>0.28468255040000001</v>
      </c>
      <c r="U9" s="28">
        <v>3.3730160000000002E-2</v>
      </c>
      <c r="V9" s="28"/>
      <c r="W9" s="40">
        <v>42.581000000000003</v>
      </c>
      <c r="X9" s="34">
        <f t="shared" si="0"/>
        <v>1.4362639429600002</v>
      </c>
      <c r="Y9" s="31"/>
      <c r="Z9" s="52">
        <f>1/6/1/16</f>
        <v>1.0416666666666666E-2</v>
      </c>
      <c r="AA9" s="35"/>
      <c r="AB9" s="34"/>
      <c r="AC9" s="34">
        <f>Table1353434[[#This Row],[Tr. 1 Mineral Acres]]+Table1353434[[#This Row],[Tr. 2 Mineral Acres]]+Table1353434[[#This Row],[Tr. 3 Mineral Acres]]+Table1353434[[#This Row],[Tr. 4 Mineral Acres]]+Table1353434[[#This Row],[Tr. 5 Mineral Acres]]+Table1353434[[#This Row],[Tr. 6 Mineral Acres]]+Table1353434[[#This Row],[Tr. 7 Mineral Acres]]</f>
        <v>6.254718489440001</v>
      </c>
      <c r="AD9" s="34"/>
      <c r="AE9" s="37" t="s">
        <v>57</v>
      </c>
      <c r="AF9" s="38">
        <v>0.2</v>
      </c>
      <c r="AG9" s="38">
        <f>Table1353434[[#This Row],[Lease Roy.]]*Table1353434[[#This Row],[Unit Totals]]</f>
        <v>1.2509436978880002</v>
      </c>
      <c r="AH9" s="38"/>
      <c r="AI9" s="38"/>
      <c r="AJ9" s="34"/>
    </row>
    <row r="10" spans="1:36" ht="57" x14ac:dyDescent="0.45">
      <c r="A10" s="39" t="s">
        <v>27</v>
      </c>
      <c r="B10" s="31"/>
      <c r="C10" s="41"/>
      <c r="D10" s="31"/>
      <c r="E10" s="42">
        <v>3.3730160000000002E-2</v>
      </c>
      <c r="F10" s="42"/>
      <c r="G10" s="29">
        <v>106.19</v>
      </c>
      <c r="H10" s="28">
        <f>Table1353434[[#This Row],[Tr. 2 
Gross Acreage]]*Table1353434[[#This Row],[Tr. 2
Mineral Interest]]</f>
        <v>3.5818056904</v>
      </c>
      <c r="I10" s="42">
        <v>3.3730160000000002E-2</v>
      </c>
      <c r="J10" s="42"/>
      <c r="K10" s="30">
        <v>28.222999999999999</v>
      </c>
      <c r="L10" s="31">
        <f>Table1353434[[#This Row],[Tr. 3 Gross Acreage]]*Table1353434[[#This Row],[Tr.3 Mineral Interest]]</f>
        <v>0.95196630568000007</v>
      </c>
      <c r="M10" s="31"/>
      <c r="N10" s="52">
        <f>1/6/1/16</f>
        <v>1.0416666666666666E-2</v>
      </c>
      <c r="O10" s="29"/>
      <c r="P10" s="34"/>
      <c r="Q10" s="42">
        <v>3.3730160000000002E-2</v>
      </c>
      <c r="R10" s="42"/>
      <c r="S10" s="33">
        <v>8.44</v>
      </c>
      <c r="T10" s="34">
        <f>Table1353434[[#This Row],[Tr. 5 Gross Acreage]]*Table1353434[[#This Row],[Tr.5 Mineral Interest]]</f>
        <v>0.28468255040000001</v>
      </c>
      <c r="U10" s="42">
        <v>3.3730160000000002E-2</v>
      </c>
      <c r="V10" s="42"/>
      <c r="W10" s="40">
        <v>42.581000000000003</v>
      </c>
      <c r="X10" s="34">
        <f t="shared" si="0"/>
        <v>1.4362639429600002</v>
      </c>
      <c r="Y10" s="31"/>
      <c r="Z10" s="52">
        <f>1/6/1/16</f>
        <v>1.0416666666666666E-2</v>
      </c>
      <c r="AA10" s="35"/>
      <c r="AB10" s="34"/>
      <c r="AC10" s="34">
        <f>Table1353434[[#This Row],[Tr. 1 Mineral Acres]]+Table1353434[[#This Row],[Tr. 2 Mineral Acres]]+Table1353434[[#This Row],[Tr. 3 Mineral Acres]]+Table1353434[[#This Row],[Tr. 4 Mineral Acres]]+Table1353434[[#This Row],[Tr. 5 Mineral Acres]]+Table1353434[[#This Row],[Tr. 6 Mineral Acres]]+Table1353434[[#This Row],[Tr. 7 Mineral Acres]]</f>
        <v>6.254718489440001</v>
      </c>
      <c r="AD10" s="34"/>
      <c r="AE10" s="37" t="s">
        <v>57</v>
      </c>
      <c r="AF10" s="38">
        <v>0.2</v>
      </c>
      <c r="AG10" s="38">
        <f>Table1353434[[#This Row],[Lease Roy.]]*Table1353434[[#This Row],[Unit Totals]]</f>
        <v>1.2509436978880002</v>
      </c>
      <c r="AH10" s="38"/>
      <c r="AI10" s="38"/>
      <c r="AJ10" s="34"/>
    </row>
    <row r="11" spans="1:36" ht="42.75" x14ac:dyDescent="0.45">
      <c r="A11" s="25" t="s">
        <v>28</v>
      </c>
      <c r="B11" s="26"/>
      <c r="C11" s="27"/>
      <c r="D11" s="26"/>
      <c r="E11" s="28">
        <v>3.3730160000000002E-2</v>
      </c>
      <c r="F11" s="28"/>
      <c r="G11" s="29">
        <v>106.19</v>
      </c>
      <c r="H11" s="28">
        <f>Table1353434[[#This Row],[Tr. 2 
Gross Acreage]]*Table1353434[[#This Row],[Tr. 2
Mineral Interest]]</f>
        <v>3.5818056904</v>
      </c>
      <c r="I11" s="28">
        <v>3.3730160000000002E-2</v>
      </c>
      <c r="J11" s="28"/>
      <c r="K11" s="30">
        <v>28.222999999999999</v>
      </c>
      <c r="L11" s="31">
        <f>Table1353434[[#This Row],[Tr. 3 Gross Acreage]]*Table1353434[[#This Row],[Tr.3 Mineral Interest]]</f>
        <v>0.95196630568000007</v>
      </c>
      <c r="M11" s="31"/>
      <c r="N11" s="52">
        <f>1/6/1/16</f>
        <v>1.0416666666666666E-2</v>
      </c>
      <c r="O11" s="33"/>
      <c r="P11" s="34"/>
      <c r="Q11" s="28">
        <v>3.3730160000000002E-2</v>
      </c>
      <c r="R11" s="28"/>
      <c r="S11" s="33">
        <v>8.44</v>
      </c>
      <c r="T11" s="34">
        <f>Table1353434[[#This Row],[Tr. 5 Gross Acreage]]*Table1353434[[#This Row],[Tr.5 Mineral Interest]]</f>
        <v>0.28468255040000001</v>
      </c>
      <c r="U11" s="28">
        <v>3.3730160000000002E-2</v>
      </c>
      <c r="V11" s="28"/>
      <c r="W11" s="40">
        <v>42.581000000000003</v>
      </c>
      <c r="X11" s="34">
        <f t="shared" si="0"/>
        <v>1.4362639429600002</v>
      </c>
      <c r="Y11" s="31"/>
      <c r="Z11" s="52">
        <f>1/6/1/16</f>
        <v>1.0416666666666666E-2</v>
      </c>
      <c r="AA11" s="35"/>
      <c r="AB11" s="34"/>
      <c r="AC11" s="34">
        <f>Table1353434[[#This Row],[Tr. 1 Mineral Acres]]+Table1353434[[#This Row],[Tr. 2 Mineral Acres]]+Table1353434[[#This Row],[Tr. 3 Mineral Acres]]+Table1353434[[#This Row],[Tr. 4 Mineral Acres]]+Table1353434[[#This Row],[Tr. 5 Mineral Acres]]+Table1353434[[#This Row],[Tr. 6 Mineral Acres]]+Table1353434[[#This Row],[Tr. 7 Mineral Acres]]</f>
        <v>6.254718489440001</v>
      </c>
      <c r="AD11" s="34"/>
      <c r="AE11" s="34" t="s">
        <v>58</v>
      </c>
      <c r="AF11" s="38"/>
      <c r="AG11" s="38">
        <f>Table1353434[[#This Row],[Lease Roy.]]*Table1353434[[#This Row],[Unit Totals]]</f>
        <v>0</v>
      </c>
      <c r="AH11" s="38"/>
      <c r="AI11" s="38"/>
      <c r="AJ11" s="34"/>
    </row>
    <row r="12" spans="1:36" ht="57" x14ac:dyDescent="0.45">
      <c r="A12" s="25" t="s">
        <v>29</v>
      </c>
      <c r="B12" s="26"/>
      <c r="C12" s="27"/>
      <c r="D12" s="26"/>
      <c r="E12" s="42">
        <v>3.3730160000000002E-2</v>
      </c>
      <c r="F12" s="42"/>
      <c r="G12" s="29">
        <v>106.19</v>
      </c>
      <c r="H12" s="28">
        <f>Table1353434[[#This Row],[Tr. 2 
Gross Acreage]]*Table1353434[[#This Row],[Tr. 2
Mineral Interest]]</f>
        <v>3.5818056904</v>
      </c>
      <c r="I12" s="42">
        <v>3.3730160000000002E-2</v>
      </c>
      <c r="J12" s="42"/>
      <c r="K12" s="30">
        <v>28.222999999999999</v>
      </c>
      <c r="L12" s="31">
        <f>Table1353434[[#This Row],[Tr. 3 Gross Acreage]]*Table1353434[[#This Row],[Tr.3 Mineral Interest]]</f>
        <v>0.95196630568000007</v>
      </c>
      <c r="M12" s="31"/>
      <c r="N12" s="52">
        <f>1/6/1/16</f>
        <v>1.0416666666666666E-2</v>
      </c>
      <c r="O12" s="33"/>
      <c r="P12" s="34"/>
      <c r="Q12" s="42">
        <v>3.3730160000000002E-2</v>
      </c>
      <c r="R12" s="42"/>
      <c r="S12" s="33">
        <v>8.44</v>
      </c>
      <c r="T12" s="34">
        <f>Table1353434[[#This Row],[Tr. 5 Gross Acreage]]*Table1353434[[#This Row],[Tr.5 Mineral Interest]]</f>
        <v>0.28468255040000001</v>
      </c>
      <c r="U12" s="42">
        <v>3.3730160000000002E-2</v>
      </c>
      <c r="V12" s="42"/>
      <c r="W12" s="40">
        <v>42.581000000000003</v>
      </c>
      <c r="X12" s="34">
        <f t="shared" si="0"/>
        <v>1.4362639429600002</v>
      </c>
      <c r="Y12" s="31"/>
      <c r="Z12" s="52">
        <f>1/6/1/16</f>
        <v>1.0416666666666666E-2</v>
      </c>
      <c r="AA12" s="35"/>
      <c r="AB12" s="34"/>
      <c r="AC12" s="34">
        <f>Table1353434[[#This Row],[Tr. 1 Mineral Acres]]+Table1353434[[#This Row],[Tr. 2 Mineral Acres]]+Table1353434[[#This Row],[Tr. 3 Mineral Acres]]+Table1353434[[#This Row],[Tr. 4 Mineral Acres]]+Table1353434[[#This Row],[Tr. 5 Mineral Acres]]+Table1353434[[#This Row],[Tr. 6 Mineral Acres]]+Table1353434[[#This Row],[Tr. 7 Mineral Acres]]</f>
        <v>6.254718489440001</v>
      </c>
      <c r="AD12" s="34"/>
      <c r="AE12" s="37" t="s">
        <v>57</v>
      </c>
      <c r="AF12" s="38">
        <v>0.16666666666666666</v>
      </c>
      <c r="AG12" s="38">
        <f>Table1353434[[#This Row],[Lease Roy.]]*Table1353434[[#This Row],[Unit Totals]]</f>
        <v>1.0424530815733335</v>
      </c>
      <c r="AH12" s="38"/>
      <c r="AI12" s="38"/>
      <c r="AJ12" s="34"/>
    </row>
    <row r="13" spans="1:36" ht="42.75" x14ac:dyDescent="0.45">
      <c r="A13" s="25" t="s">
        <v>30</v>
      </c>
      <c r="B13" s="26"/>
      <c r="C13" s="27"/>
      <c r="D13" s="26"/>
      <c r="E13" s="28">
        <v>1.1243385E-2</v>
      </c>
      <c r="F13" s="28"/>
      <c r="G13" s="29">
        <v>106.19</v>
      </c>
      <c r="H13" s="28">
        <f>Table1353434[[#This Row],[Tr. 2 
Gross Acreage]]*Table1353434[[#This Row],[Tr. 2
Mineral Interest]]</f>
        <v>1.1939350531499999</v>
      </c>
      <c r="I13" s="28">
        <v>1.1243385E-2</v>
      </c>
      <c r="J13" s="28"/>
      <c r="K13" s="30">
        <v>28.222999999999999</v>
      </c>
      <c r="L13" s="31">
        <f>Table1353434[[#This Row],[Tr. 3 Gross Acreage]]*Table1353434[[#This Row],[Tr.3 Mineral Interest]]</f>
        <v>0.31732205485499998</v>
      </c>
      <c r="M13" s="31"/>
      <c r="N13" s="52">
        <f>1/2/1/9/1/16</f>
        <v>3.472222222222222E-3</v>
      </c>
      <c r="O13" s="33"/>
      <c r="P13" s="34"/>
      <c r="Q13" s="28">
        <v>1.1243385E-2</v>
      </c>
      <c r="R13" s="28"/>
      <c r="S13" s="33">
        <v>8.44</v>
      </c>
      <c r="T13" s="34">
        <f>Table1353434[[#This Row],[Tr. 5 Gross Acreage]]*Table1353434[[#This Row],[Tr.5 Mineral Interest]]</f>
        <v>9.4894169399999992E-2</v>
      </c>
      <c r="U13" s="28">
        <v>1.1243385E-2</v>
      </c>
      <c r="V13" s="28"/>
      <c r="W13" s="40">
        <v>42.581000000000003</v>
      </c>
      <c r="X13" s="34">
        <f t="shared" si="0"/>
        <v>0.47875457668500004</v>
      </c>
      <c r="Y13" s="31"/>
      <c r="Z13" s="52">
        <f>1/2/1/9/1/16</f>
        <v>3.472222222222222E-3</v>
      </c>
      <c r="AA13" s="35"/>
      <c r="AB13" s="34"/>
      <c r="AC13" s="34">
        <f>Table1353434[[#This Row],[Tr. 1 Mineral Acres]]+Table1353434[[#This Row],[Tr. 2 Mineral Acres]]+Table1353434[[#This Row],[Tr. 3 Mineral Acres]]+Table1353434[[#This Row],[Tr. 4 Mineral Acres]]+Table1353434[[#This Row],[Tr. 5 Mineral Acres]]+Table1353434[[#This Row],[Tr. 6 Mineral Acres]]+Table1353434[[#This Row],[Tr. 7 Mineral Acres]]</f>
        <v>2.0849058540900001</v>
      </c>
      <c r="AD13" s="34"/>
      <c r="AE13" s="37" t="s">
        <v>57</v>
      </c>
      <c r="AF13" s="38">
        <v>0.2</v>
      </c>
      <c r="AG13" s="38">
        <f>Table1353434[[#This Row],[Lease Roy.]]*Table1353434[[#This Row],[Unit Totals]]</f>
        <v>0.41698117081800001</v>
      </c>
      <c r="AH13" s="38"/>
      <c r="AI13" s="38"/>
      <c r="AJ13" s="34"/>
    </row>
    <row r="14" spans="1:36" ht="42.75" x14ac:dyDescent="0.45">
      <c r="A14" s="39" t="s">
        <v>31</v>
      </c>
      <c r="B14" s="31"/>
      <c r="C14" s="41"/>
      <c r="D14" s="31"/>
      <c r="E14" s="28">
        <v>1.1243385E-2</v>
      </c>
      <c r="F14" s="28"/>
      <c r="G14" s="29">
        <v>106.19</v>
      </c>
      <c r="H14" s="28">
        <f>Table1353434[[#This Row],[Tr. 2 
Gross Acreage]]*Table1353434[[#This Row],[Tr. 2
Mineral Interest]]</f>
        <v>1.1939350531499999</v>
      </c>
      <c r="I14" s="28">
        <v>1.1243385E-2</v>
      </c>
      <c r="J14" s="28"/>
      <c r="K14" s="30">
        <v>28.222999999999999</v>
      </c>
      <c r="L14" s="31">
        <f>Table1353434[[#This Row],[Tr. 3 Gross Acreage]]*Table1353434[[#This Row],[Tr.3 Mineral Interest]]</f>
        <v>0.31732205485499998</v>
      </c>
      <c r="M14" s="31"/>
      <c r="N14" s="52">
        <f t="shared" ref="N14:N16" si="1">1/2/1/9/1/16</f>
        <v>3.472222222222222E-3</v>
      </c>
      <c r="O14" s="29"/>
      <c r="P14" s="34"/>
      <c r="Q14" s="28">
        <v>1.1243385E-2</v>
      </c>
      <c r="R14" s="28"/>
      <c r="S14" s="33">
        <v>8.44</v>
      </c>
      <c r="T14" s="34">
        <f>Table1353434[[#This Row],[Tr. 5 Gross Acreage]]*Table1353434[[#This Row],[Tr.5 Mineral Interest]]</f>
        <v>9.4894169399999992E-2</v>
      </c>
      <c r="U14" s="28">
        <v>1.1243385E-2</v>
      </c>
      <c r="V14" s="28"/>
      <c r="W14" s="40">
        <v>42.581000000000003</v>
      </c>
      <c r="X14" s="34">
        <f t="shared" si="0"/>
        <v>0.47875457668500004</v>
      </c>
      <c r="Y14" s="31"/>
      <c r="Z14" s="52">
        <f t="shared" ref="Z14:Z16" si="2">1/2/1/9/1/16</f>
        <v>3.472222222222222E-3</v>
      </c>
      <c r="AA14" s="35"/>
      <c r="AB14" s="34"/>
      <c r="AC14" s="34">
        <f>Table1353434[[#This Row],[Tr. 1 Mineral Acres]]+Table1353434[[#This Row],[Tr. 2 Mineral Acres]]+Table1353434[[#This Row],[Tr. 3 Mineral Acres]]+Table1353434[[#This Row],[Tr. 4 Mineral Acres]]+Table1353434[[#This Row],[Tr. 5 Mineral Acres]]+Table1353434[[#This Row],[Tr. 6 Mineral Acres]]+Table1353434[[#This Row],[Tr. 7 Mineral Acres]]</f>
        <v>2.0849058540900001</v>
      </c>
      <c r="AD14" s="34"/>
      <c r="AE14" s="34" t="s">
        <v>59</v>
      </c>
      <c r="AF14" s="38"/>
      <c r="AG14" s="38">
        <f>Table1353434[[#This Row],[Lease Roy.]]*Table1353434[[#This Row],[Unit Totals]]</f>
        <v>0</v>
      </c>
      <c r="AH14" s="38"/>
      <c r="AI14" s="38"/>
      <c r="AJ14" s="34" t="s">
        <v>63</v>
      </c>
    </row>
    <row r="15" spans="1:36" ht="42.75" x14ac:dyDescent="0.45">
      <c r="A15" s="25" t="s">
        <v>32</v>
      </c>
      <c r="B15" s="26"/>
      <c r="C15" s="27"/>
      <c r="D15" s="26"/>
      <c r="E15" s="28">
        <v>1.1243385E-2</v>
      </c>
      <c r="F15" s="28"/>
      <c r="G15" s="29">
        <v>106.19</v>
      </c>
      <c r="H15" s="28">
        <f>Table1353434[[#This Row],[Tr. 2 
Gross Acreage]]*Table1353434[[#This Row],[Tr. 2
Mineral Interest]]</f>
        <v>1.1939350531499999</v>
      </c>
      <c r="I15" s="28">
        <v>1.1243385E-2</v>
      </c>
      <c r="J15" s="28"/>
      <c r="K15" s="30">
        <v>28.222999999999999</v>
      </c>
      <c r="L15" s="31">
        <f>Table1353434[[#This Row],[Tr. 3 Gross Acreage]]*Table1353434[[#This Row],[Tr.3 Mineral Interest]]</f>
        <v>0.31732205485499998</v>
      </c>
      <c r="M15" s="31"/>
      <c r="N15" s="52">
        <f t="shared" si="1"/>
        <v>3.472222222222222E-3</v>
      </c>
      <c r="O15" s="33"/>
      <c r="P15" s="34"/>
      <c r="Q15" s="28">
        <v>1.1243385E-2</v>
      </c>
      <c r="R15" s="28"/>
      <c r="S15" s="33">
        <v>8.44</v>
      </c>
      <c r="T15" s="34">
        <f>Table1353434[[#This Row],[Tr. 5 Gross Acreage]]*Table1353434[[#This Row],[Tr.5 Mineral Interest]]</f>
        <v>9.4894169399999992E-2</v>
      </c>
      <c r="U15" s="28">
        <v>1.1243385E-2</v>
      </c>
      <c r="V15" s="28"/>
      <c r="W15" s="40">
        <v>42.581000000000003</v>
      </c>
      <c r="X15" s="34">
        <f t="shared" si="0"/>
        <v>0.47875457668500004</v>
      </c>
      <c r="Y15" s="31"/>
      <c r="Z15" s="52">
        <f t="shared" si="2"/>
        <v>3.472222222222222E-3</v>
      </c>
      <c r="AA15" s="35"/>
      <c r="AB15" s="34"/>
      <c r="AC15" s="34">
        <f>Table1353434[[#This Row],[Tr. 1 Mineral Acres]]+Table1353434[[#This Row],[Tr. 2 Mineral Acres]]+Table1353434[[#This Row],[Tr. 3 Mineral Acres]]+Table1353434[[#This Row],[Tr. 4 Mineral Acres]]+Table1353434[[#This Row],[Tr. 5 Mineral Acres]]+Table1353434[[#This Row],[Tr. 6 Mineral Acres]]+Table1353434[[#This Row],[Tr. 7 Mineral Acres]]</f>
        <v>2.0849058540900001</v>
      </c>
      <c r="AD15" s="34"/>
      <c r="AE15" s="34" t="s">
        <v>59</v>
      </c>
      <c r="AF15" s="38"/>
      <c r="AG15" s="38">
        <f>Table1353434[[#This Row],[Lease Roy.]]*Table1353434[[#This Row],[Unit Totals]]</f>
        <v>0</v>
      </c>
      <c r="AH15" s="38"/>
      <c r="AI15" s="38"/>
      <c r="AJ15" s="34" t="s">
        <v>63</v>
      </c>
    </row>
    <row r="16" spans="1:36" ht="57" x14ac:dyDescent="0.45">
      <c r="A16" s="39" t="s">
        <v>33</v>
      </c>
      <c r="B16" s="31"/>
      <c r="C16" s="41"/>
      <c r="D16" s="31"/>
      <c r="E16" s="28">
        <v>1.1243385E-2</v>
      </c>
      <c r="F16" s="28"/>
      <c r="G16" s="29">
        <v>106.19</v>
      </c>
      <c r="H16" s="28">
        <f>Table1353434[[#This Row],[Tr. 2 
Gross Acreage]]*Table1353434[[#This Row],[Tr. 2
Mineral Interest]]</f>
        <v>1.1939350531499999</v>
      </c>
      <c r="I16" s="28">
        <v>1.1243385E-2</v>
      </c>
      <c r="J16" s="28"/>
      <c r="K16" s="30">
        <v>28.222999999999999</v>
      </c>
      <c r="L16" s="31">
        <f>Table1353434[[#This Row],[Tr. 3 Gross Acreage]]*Table1353434[[#This Row],[Tr.3 Mineral Interest]]</f>
        <v>0.31732205485499998</v>
      </c>
      <c r="M16" s="31"/>
      <c r="N16" s="52">
        <f t="shared" si="1"/>
        <v>3.472222222222222E-3</v>
      </c>
      <c r="O16" s="29"/>
      <c r="P16" s="34"/>
      <c r="Q16" s="28">
        <v>1.1243385E-2</v>
      </c>
      <c r="R16" s="28"/>
      <c r="S16" s="33">
        <v>8.44</v>
      </c>
      <c r="T16" s="34">
        <f>Table1353434[[#This Row],[Tr. 5 Gross Acreage]]*Table1353434[[#This Row],[Tr.5 Mineral Interest]]</f>
        <v>9.4894169399999992E-2</v>
      </c>
      <c r="U16" s="28">
        <v>1.1243385E-2</v>
      </c>
      <c r="V16" s="28"/>
      <c r="W16" s="40">
        <v>42.581000000000003</v>
      </c>
      <c r="X16" s="34">
        <f t="shared" si="0"/>
        <v>0.47875457668500004</v>
      </c>
      <c r="Y16" s="31"/>
      <c r="Z16" s="52">
        <f t="shared" si="2"/>
        <v>3.472222222222222E-3</v>
      </c>
      <c r="AA16" s="35"/>
      <c r="AB16" s="34"/>
      <c r="AC16" s="34">
        <f>Table1353434[[#This Row],[Tr. 1 Mineral Acres]]+Table1353434[[#This Row],[Tr. 2 Mineral Acres]]+Table1353434[[#This Row],[Tr. 3 Mineral Acres]]+Table1353434[[#This Row],[Tr. 4 Mineral Acres]]+Table1353434[[#This Row],[Tr. 5 Mineral Acres]]+Table1353434[[#This Row],[Tr. 6 Mineral Acres]]+Table1353434[[#This Row],[Tr. 7 Mineral Acres]]</f>
        <v>2.0849058540900001</v>
      </c>
      <c r="AD16" s="34"/>
      <c r="AE16" s="37" t="s">
        <v>57</v>
      </c>
      <c r="AF16" s="38">
        <v>0.2</v>
      </c>
      <c r="AG16" s="38">
        <f>Table1353434[[#This Row],[Lease Roy.]]*Table1353434[[#This Row],[Unit Totals]]</f>
        <v>0.41698117081800001</v>
      </c>
      <c r="AH16" s="38"/>
      <c r="AI16" s="38"/>
      <c r="AJ16" s="34"/>
    </row>
    <row r="17" spans="1:36" ht="57" x14ac:dyDescent="0.45">
      <c r="A17" s="25" t="s">
        <v>34</v>
      </c>
      <c r="B17" s="26"/>
      <c r="C17" s="27"/>
      <c r="D17" s="26"/>
      <c r="E17" s="28">
        <v>1.1243390000000001E-2</v>
      </c>
      <c r="F17" s="28"/>
      <c r="G17" s="29">
        <v>106.19</v>
      </c>
      <c r="H17" s="28">
        <f>Table1353434[[#This Row],[Tr. 2 
Gross Acreage]]*Table1353434[[#This Row],[Tr. 2
Mineral Interest]]</f>
        <v>1.1939355841000001</v>
      </c>
      <c r="I17" s="28">
        <v>1.1243390000000001E-2</v>
      </c>
      <c r="J17" s="28"/>
      <c r="K17" s="30">
        <v>28.222999999999999</v>
      </c>
      <c r="L17" s="31">
        <f>Table1353434[[#This Row],[Tr. 3 Gross Acreage]]*Table1353434[[#This Row],[Tr.3 Mineral Interest]]</f>
        <v>0.31732219597</v>
      </c>
      <c r="M17" s="31"/>
      <c r="N17" s="52">
        <f>1/18/1/16</f>
        <v>3.472222222222222E-3</v>
      </c>
      <c r="O17" s="33"/>
      <c r="P17" s="34"/>
      <c r="Q17" s="28">
        <v>1.1243390000000001E-2</v>
      </c>
      <c r="R17" s="28"/>
      <c r="S17" s="33">
        <v>8.44</v>
      </c>
      <c r="T17" s="34">
        <f>Table1353434[[#This Row],[Tr. 5 Gross Acreage]]*Table1353434[[#This Row],[Tr.5 Mineral Interest]]</f>
        <v>9.48942116E-2</v>
      </c>
      <c r="U17" s="28">
        <v>1.1243390000000001E-2</v>
      </c>
      <c r="V17" s="28"/>
      <c r="W17" s="40">
        <v>42.581000000000003</v>
      </c>
      <c r="X17" s="34">
        <f t="shared" si="0"/>
        <v>0.47875478959000006</v>
      </c>
      <c r="Y17" s="31"/>
      <c r="Z17" s="52">
        <f>1/18/1/16</f>
        <v>3.472222222222222E-3</v>
      </c>
      <c r="AA17" s="35"/>
      <c r="AB17" s="34"/>
      <c r="AC17" s="34">
        <f>Table1353434[[#This Row],[Tr. 1 Mineral Acres]]+Table1353434[[#This Row],[Tr. 2 Mineral Acres]]+Table1353434[[#This Row],[Tr. 3 Mineral Acres]]+Table1353434[[#This Row],[Tr. 4 Mineral Acres]]+Table1353434[[#This Row],[Tr. 5 Mineral Acres]]+Table1353434[[#This Row],[Tr. 6 Mineral Acres]]+Table1353434[[#This Row],[Tr. 7 Mineral Acres]]</f>
        <v>2.0849067812600004</v>
      </c>
      <c r="AD17" s="34"/>
      <c r="AE17" s="34" t="s">
        <v>58</v>
      </c>
      <c r="AF17" s="38"/>
      <c r="AG17" s="38">
        <f>Table1353434[[#This Row],[Lease Roy.]]*Table1353434[[#This Row],[Unit Totals]]</f>
        <v>0</v>
      </c>
      <c r="AH17" s="38"/>
      <c r="AI17" s="38"/>
      <c r="AJ17" s="34" t="s">
        <v>62</v>
      </c>
    </row>
    <row r="18" spans="1:36" ht="57" x14ac:dyDescent="0.45">
      <c r="A18" s="25" t="s">
        <v>35</v>
      </c>
      <c r="B18" s="26"/>
      <c r="C18" s="27"/>
      <c r="D18" s="26"/>
      <c r="E18" s="28">
        <v>1.1243390000000001E-2</v>
      </c>
      <c r="F18" s="28"/>
      <c r="G18" s="29">
        <v>106.19</v>
      </c>
      <c r="H18" s="28">
        <f>Table1353434[[#This Row],[Tr. 2 
Gross Acreage]]*Table1353434[[#This Row],[Tr. 2
Mineral Interest]]</f>
        <v>1.1939355841000001</v>
      </c>
      <c r="I18" s="28">
        <v>1.1243390000000001E-2</v>
      </c>
      <c r="J18" s="28"/>
      <c r="K18" s="30">
        <v>28.222999999999999</v>
      </c>
      <c r="L18" s="31">
        <f>Table1353434[[#This Row],[Tr. 3 Gross Acreage]]*Table1353434[[#This Row],[Tr.3 Mineral Interest]]</f>
        <v>0.31732219597</v>
      </c>
      <c r="M18" s="31"/>
      <c r="N18" s="52">
        <f>1/18/1/16</f>
        <v>3.472222222222222E-3</v>
      </c>
      <c r="O18" s="33"/>
      <c r="P18" s="34"/>
      <c r="Q18" s="28">
        <v>1.1243390000000001E-2</v>
      </c>
      <c r="R18" s="28"/>
      <c r="S18" s="33">
        <v>8.44</v>
      </c>
      <c r="T18" s="34">
        <f>Table1353434[[#This Row],[Tr. 5 Gross Acreage]]*Table1353434[[#This Row],[Tr.5 Mineral Interest]]</f>
        <v>9.48942116E-2</v>
      </c>
      <c r="U18" s="28">
        <v>1.1243390000000001E-2</v>
      </c>
      <c r="V18" s="28"/>
      <c r="W18" s="40">
        <v>42.581000000000003</v>
      </c>
      <c r="X18" s="34">
        <f t="shared" si="0"/>
        <v>0.47875478959000006</v>
      </c>
      <c r="Y18" s="31"/>
      <c r="Z18" s="52">
        <f>1/18/1/16</f>
        <v>3.472222222222222E-3</v>
      </c>
      <c r="AA18" s="35"/>
      <c r="AB18" s="34"/>
      <c r="AC18" s="34">
        <f>Table1353434[[#This Row],[Tr. 1 Mineral Acres]]+Table1353434[[#This Row],[Tr. 2 Mineral Acres]]+Table1353434[[#This Row],[Tr. 3 Mineral Acres]]+Table1353434[[#This Row],[Tr. 4 Mineral Acres]]+Table1353434[[#This Row],[Tr. 5 Mineral Acres]]+Table1353434[[#This Row],[Tr. 6 Mineral Acres]]+Table1353434[[#This Row],[Tr. 7 Mineral Acres]]</f>
        <v>2.0849067812600004</v>
      </c>
      <c r="AD18" s="34"/>
      <c r="AE18" s="34" t="s">
        <v>58</v>
      </c>
      <c r="AF18" s="38"/>
      <c r="AG18" s="38">
        <f>Table1353434[[#This Row],[Lease Roy.]]*Table1353434[[#This Row],[Unit Totals]]</f>
        <v>0</v>
      </c>
      <c r="AH18" s="38"/>
      <c r="AI18" s="38"/>
      <c r="AJ18" s="34" t="s">
        <v>62</v>
      </c>
    </row>
    <row r="19" spans="1:36" ht="42.75" x14ac:dyDescent="0.45">
      <c r="A19" s="39" t="s">
        <v>36</v>
      </c>
      <c r="B19" s="31"/>
      <c r="C19" s="41"/>
      <c r="D19" s="31"/>
      <c r="E19" s="28">
        <v>2.232143E-2</v>
      </c>
      <c r="F19" s="28"/>
      <c r="G19" s="29">
        <v>106.19</v>
      </c>
      <c r="H19" s="28">
        <f>Table1353434[[#This Row],[Tr. 2 
Gross Acreage]]*Table1353434[[#This Row],[Tr. 2
Mineral Interest]]</f>
        <v>2.3703126516999999</v>
      </c>
      <c r="I19" s="28">
        <v>2.232143E-2</v>
      </c>
      <c r="J19" s="28"/>
      <c r="K19" s="30">
        <v>28.222999999999999</v>
      </c>
      <c r="L19" s="28">
        <f>Table1353434[[#This Row],[Tr. 3 Gross Acreage]]*Table1353434[[#This Row],[Tr.3 Mineral Interest]]</f>
        <v>0.62997771888999998</v>
      </c>
      <c r="M19" s="28"/>
      <c r="N19" s="28"/>
      <c r="O19" s="29"/>
      <c r="P19" s="28"/>
      <c r="Q19" s="28">
        <v>2.232143E-2</v>
      </c>
      <c r="R19" s="28"/>
      <c r="S19" s="33">
        <v>8.44</v>
      </c>
      <c r="T19" s="28">
        <f>Table1353434[[#This Row],[Tr. 5 Gross Acreage]]*Table1353434[[#This Row],[Tr.5 Mineral Interest]]</f>
        <v>0.18839286919999998</v>
      </c>
      <c r="U19" s="28">
        <v>2.232143E-2</v>
      </c>
      <c r="V19" s="28"/>
      <c r="W19" s="30">
        <v>42.581000000000003</v>
      </c>
      <c r="X19" s="34">
        <f t="shared" si="0"/>
        <v>0.95046881083000001</v>
      </c>
      <c r="Y19" s="28"/>
      <c r="Z19" s="28"/>
      <c r="AA19" s="35"/>
      <c r="AB19" s="28"/>
      <c r="AC19" s="28">
        <f>Table1353434[[#This Row],[Tr. 1 Mineral Acres]]+Table1353434[[#This Row],[Tr. 2 Mineral Acres]]+Table1353434[[#This Row],[Tr. 3 Mineral Acres]]+Table1353434[[#This Row],[Tr. 4 Mineral Acres]]+Table1353434[[#This Row],[Tr. 5 Mineral Acres]]+Table1353434[[#This Row],[Tr. 6 Mineral Acres]]+Table1353434[[#This Row],[Tr. 7 Mineral Acres]]</f>
        <v>4.1391520506199999</v>
      </c>
      <c r="AD19" s="28"/>
      <c r="AE19" s="37" t="s">
        <v>57</v>
      </c>
      <c r="AF19" s="28">
        <v>0.2</v>
      </c>
      <c r="AG19" s="38">
        <f>Table1353434[[#This Row],[Lease Roy.]]*Table1353434[[#This Row],[Unit Totals]]</f>
        <v>0.82783041012400005</v>
      </c>
      <c r="AH19" s="38"/>
      <c r="AI19" s="38"/>
      <c r="AJ19" s="34"/>
    </row>
    <row r="20" spans="1:36" ht="42.75" x14ac:dyDescent="0.45">
      <c r="A20" s="39" t="s">
        <v>37</v>
      </c>
      <c r="B20" s="31"/>
      <c r="C20" s="41"/>
      <c r="D20" s="31"/>
      <c r="E20" s="28">
        <v>2.232143E-2</v>
      </c>
      <c r="F20" s="28"/>
      <c r="G20" s="29">
        <v>106.19</v>
      </c>
      <c r="H20" s="28">
        <f>Table1353434[[#This Row],[Tr. 2 
Gross Acreage]]*Table1353434[[#This Row],[Tr. 2
Mineral Interest]]</f>
        <v>2.3703126516999999</v>
      </c>
      <c r="I20" s="28">
        <v>2.232143E-2</v>
      </c>
      <c r="J20" s="28"/>
      <c r="K20" s="30">
        <v>28.222999999999999</v>
      </c>
      <c r="L20" s="28">
        <f>Table1353434[[#This Row],[Tr. 3 Gross Acreage]]*Table1353434[[#This Row],[Tr.3 Mineral Interest]]</f>
        <v>0.62997771888999998</v>
      </c>
      <c r="M20" s="28"/>
      <c r="N20" s="28"/>
      <c r="O20" s="29"/>
      <c r="P20" s="28"/>
      <c r="Q20" s="28">
        <v>2.232143E-2</v>
      </c>
      <c r="R20" s="28"/>
      <c r="S20" s="33">
        <v>8.44</v>
      </c>
      <c r="T20" s="28">
        <f>Table1353434[[#This Row],[Tr. 5 Gross Acreage]]*Table1353434[[#This Row],[Tr.5 Mineral Interest]]</f>
        <v>0.18839286919999998</v>
      </c>
      <c r="U20" s="28">
        <v>2.232143E-2</v>
      </c>
      <c r="V20" s="28"/>
      <c r="W20" s="30">
        <v>42.581000000000003</v>
      </c>
      <c r="X20" s="34">
        <f t="shared" si="0"/>
        <v>0.95046881083000001</v>
      </c>
      <c r="Y20" s="28"/>
      <c r="Z20" s="28"/>
      <c r="AA20" s="35"/>
      <c r="AB20" s="28"/>
      <c r="AC20" s="28">
        <f>Table1353434[[#This Row],[Tr. 1 Mineral Acres]]+Table1353434[[#This Row],[Tr. 2 Mineral Acres]]+Table1353434[[#This Row],[Tr. 3 Mineral Acres]]+Table1353434[[#This Row],[Tr. 4 Mineral Acres]]+Table1353434[[#This Row],[Tr. 5 Mineral Acres]]+Table1353434[[#This Row],[Tr. 6 Mineral Acres]]+Table1353434[[#This Row],[Tr. 7 Mineral Acres]]</f>
        <v>4.1391520506199999</v>
      </c>
      <c r="AD20" s="28"/>
      <c r="AE20" s="34" t="s">
        <v>58</v>
      </c>
      <c r="AF20" s="28"/>
      <c r="AG20" s="28">
        <f>Table1353434[[#This Row],[Lease Roy.]]*Table1353434[[#This Row],[Unit Totals]]</f>
        <v>0</v>
      </c>
      <c r="AH20" s="28"/>
      <c r="AI20" s="28"/>
      <c r="AJ20" s="34" t="s">
        <v>60</v>
      </c>
    </row>
    <row r="21" spans="1:36" ht="57" x14ac:dyDescent="0.45">
      <c r="A21" s="39" t="s">
        <v>38</v>
      </c>
      <c r="B21" s="31"/>
      <c r="C21" s="41"/>
      <c r="D21" s="31"/>
      <c r="E21" s="28">
        <v>2.232143E-2</v>
      </c>
      <c r="F21" s="28"/>
      <c r="G21" s="29">
        <v>106.19</v>
      </c>
      <c r="H21" s="28">
        <f>Table1353434[[#This Row],[Tr. 2 
Gross Acreage]]*Table1353434[[#This Row],[Tr. 2
Mineral Interest]]</f>
        <v>2.3703126516999999</v>
      </c>
      <c r="I21" s="28">
        <v>2.232143E-2</v>
      </c>
      <c r="J21" s="28"/>
      <c r="K21" s="30">
        <v>28.222999999999999</v>
      </c>
      <c r="L21" s="28">
        <f>Table1353434[[#This Row],[Tr. 3 Gross Acreage]]*Table1353434[[#This Row],[Tr.3 Mineral Interest]]</f>
        <v>0.62997771888999998</v>
      </c>
      <c r="M21" s="28"/>
      <c r="N21" s="28"/>
      <c r="O21" s="29"/>
      <c r="P21" s="28"/>
      <c r="Q21" s="28">
        <v>2.232143E-2</v>
      </c>
      <c r="R21" s="28"/>
      <c r="S21" s="33">
        <v>8.44</v>
      </c>
      <c r="T21" s="28">
        <f>Table1353434[[#This Row],[Tr. 5 Gross Acreage]]*Table1353434[[#This Row],[Tr.5 Mineral Interest]]</f>
        <v>0.18839286919999998</v>
      </c>
      <c r="U21" s="28">
        <v>2.232143E-2</v>
      </c>
      <c r="V21" s="28"/>
      <c r="W21" s="30">
        <v>42.581000000000003</v>
      </c>
      <c r="X21" s="34">
        <f t="shared" si="0"/>
        <v>0.95046881083000001</v>
      </c>
      <c r="Y21" s="28"/>
      <c r="Z21" s="28"/>
      <c r="AA21" s="35"/>
      <c r="AB21" s="28"/>
      <c r="AC21" s="28">
        <f>Table1353434[[#This Row],[Tr. 1 Mineral Acres]]+Table1353434[[#This Row],[Tr. 2 Mineral Acres]]+Table1353434[[#This Row],[Tr. 3 Mineral Acres]]+Table1353434[[#This Row],[Tr. 4 Mineral Acres]]+Table1353434[[#This Row],[Tr. 5 Mineral Acres]]+Table1353434[[#This Row],[Tr. 6 Mineral Acres]]+Table1353434[[#This Row],[Tr. 7 Mineral Acres]]</f>
        <v>4.1391520506199999</v>
      </c>
      <c r="AD21" s="28"/>
      <c r="AE21" s="34" t="s">
        <v>58</v>
      </c>
      <c r="AF21" s="28"/>
      <c r="AG21" s="28">
        <f>Table1353434[[#This Row],[Lease Roy.]]*Table1353434[[#This Row],[Unit Totals]]</f>
        <v>0</v>
      </c>
      <c r="AH21" s="28"/>
      <c r="AI21" s="28"/>
      <c r="AJ21" s="34" t="s">
        <v>60</v>
      </c>
    </row>
    <row r="22" spans="1:36" ht="42.75" x14ac:dyDescent="0.45">
      <c r="A22" s="39" t="s">
        <v>39</v>
      </c>
      <c r="B22" s="31"/>
      <c r="C22" s="41"/>
      <c r="D22" s="31"/>
      <c r="E22" s="28">
        <v>2.232143E-2</v>
      </c>
      <c r="F22" s="28"/>
      <c r="G22" s="29">
        <v>106.19</v>
      </c>
      <c r="H22" s="28">
        <f>Table1353434[[#This Row],[Tr. 2 
Gross Acreage]]*Table1353434[[#This Row],[Tr. 2
Mineral Interest]]</f>
        <v>2.3703126516999999</v>
      </c>
      <c r="I22" s="28">
        <v>2.232143E-2</v>
      </c>
      <c r="J22" s="28"/>
      <c r="K22" s="30">
        <v>28.222999999999999</v>
      </c>
      <c r="L22" s="28">
        <f>Table1353434[[#This Row],[Tr. 3 Gross Acreage]]*Table1353434[[#This Row],[Tr.3 Mineral Interest]]</f>
        <v>0.62997771888999998</v>
      </c>
      <c r="M22" s="28"/>
      <c r="N22" s="28"/>
      <c r="O22" s="29"/>
      <c r="P22" s="28"/>
      <c r="Q22" s="28">
        <v>2.232143E-2</v>
      </c>
      <c r="R22" s="28"/>
      <c r="S22" s="33">
        <v>8.44</v>
      </c>
      <c r="T22" s="28">
        <f>Table1353434[[#This Row],[Tr. 5 Gross Acreage]]*Table1353434[[#This Row],[Tr.5 Mineral Interest]]</f>
        <v>0.18839286919999998</v>
      </c>
      <c r="U22" s="28">
        <v>2.232143E-2</v>
      </c>
      <c r="V22" s="28"/>
      <c r="W22" s="30">
        <v>42.581000000000003</v>
      </c>
      <c r="X22" s="34">
        <f t="shared" si="0"/>
        <v>0.95046881083000001</v>
      </c>
      <c r="Y22" s="28"/>
      <c r="Z22" s="28"/>
      <c r="AA22" s="35"/>
      <c r="AB22" s="28"/>
      <c r="AC22" s="28">
        <f>Table1353434[[#This Row],[Tr. 1 Mineral Acres]]+Table1353434[[#This Row],[Tr. 2 Mineral Acres]]+Table1353434[[#This Row],[Tr. 3 Mineral Acres]]+Table1353434[[#This Row],[Tr. 4 Mineral Acres]]+Table1353434[[#This Row],[Tr. 5 Mineral Acres]]+Table1353434[[#This Row],[Tr. 6 Mineral Acres]]+Table1353434[[#This Row],[Tr. 7 Mineral Acres]]</f>
        <v>4.1391520506199999</v>
      </c>
      <c r="AD22" s="28"/>
      <c r="AE22" s="34" t="s">
        <v>58</v>
      </c>
      <c r="AF22" s="28"/>
      <c r="AG22" s="28">
        <f>Table1353434[[#This Row],[Lease Roy.]]*Table1353434[[#This Row],[Unit Totals]]</f>
        <v>0</v>
      </c>
      <c r="AH22" s="28"/>
      <c r="AI22" s="28"/>
      <c r="AJ22" s="28" t="s">
        <v>61</v>
      </c>
    </row>
    <row r="23" spans="1:36" ht="42.75" x14ac:dyDescent="0.45">
      <c r="A23" s="43" t="s">
        <v>40</v>
      </c>
      <c r="B23" s="31"/>
      <c r="C23" s="41"/>
      <c r="D23" s="31"/>
      <c r="E23" s="28"/>
      <c r="F23" s="28"/>
      <c r="G23" s="29"/>
      <c r="H23" s="28"/>
      <c r="I23" s="28"/>
      <c r="J23" s="28"/>
      <c r="K23" s="30"/>
      <c r="L23" s="31"/>
      <c r="M23" s="31"/>
      <c r="N23" s="31"/>
      <c r="O23" s="33"/>
      <c r="P23" s="28"/>
      <c r="Q23" s="28"/>
      <c r="R23" s="28"/>
      <c r="S23" s="33"/>
      <c r="T23" s="28"/>
      <c r="U23" s="31">
        <v>2.3809520000000001E-2</v>
      </c>
      <c r="V23" s="31"/>
      <c r="W23" s="30">
        <v>42.581000000000003</v>
      </c>
      <c r="X23" s="34">
        <f t="shared" si="0"/>
        <v>1.0138331711200002</v>
      </c>
      <c r="Y23" s="31"/>
      <c r="Z23" s="31"/>
      <c r="AA23" s="35"/>
      <c r="AB23" s="28"/>
      <c r="AC23" s="28">
        <f>Table1353434[[#This Row],[Tr. 1 Mineral Acres]]+Table1353434[[#This Row],[Tr. 2 Mineral Acres]]+Table1353434[[#This Row],[Tr. 3 Mineral Acres]]+Table1353434[[#This Row],[Tr. 4 Mineral Acres]]+Table1353434[[#This Row],[Tr. 5 Mineral Acres]]+Table1353434[[#This Row],[Tr. 6 Mineral Acres]]+Table1353434[[#This Row],[Tr. 7 Mineral Acres]]</f>
        <v>1.0138331711200002</v>
      </c>
      <c r="AD23" s="28"/>
      <c r="AE23" s="31" t="s">
        <v>66</v>
      </c>
      <c r="AF23" s="38"/>
      <c r="AG23" s="38">
        <f>Table1353434[[#This Row],[Lease Roy.]]*Table1353434[[#This Row],[Unit Totals]]</f>
        <v>0</v>
      </c>
      <c r="AH23" s="38"/>
      <c r="AI23" s="38"/>
      <c r="AJ23" s="34" t="s">
        <v>79</v>
      </c>
    </row>
    <row r="24" spans="1:36" ht="42.75" x14ac:dyDescent="0.45">
      <c r="A24" s="39" t="s">
        <v>41</v>
      </c>
      <c r="B24" s="31"/>
      <c r="C24" s="41"/>
      <c r="D24" s="31"/>
      <c r="E24" s="28"/>
      <c r="F24" s="28"/>
      <c r="G24" s="29"/>
      <c r="H24" s="28"/>
      <c r="I24" s="28">
        <v>4.7619050000000003E-2</v>
      </c>
      <c r="J24" s="28"/>
      <c r="K24" s="30">
        <v>28.222999999999999</v>
      </c>
      <c r="L24" s="31">
        <f>Table1353434[[#This Row],[Tr. 3 Gross Acreage]]*Table1353434[[#This Row],[Tr.3 Mineral Interest]]</f>
        <v>1.34395244815</v>
      </c>
      <c r="M24" s="31"/>
      <c r="N24" s="31"/>
      <c r="O24" s="33"/>
      <c r="P24" s="34"/>
      <c r="Q24" s="28">
        <v>4.7619050000000003E-2</v>
      </c>
      <c r="R24" s="28"/>
      <c r="S24" s="33">
        <v>8.44</v>
      </c>
      <c r="T24" s="34">
        <f>Table1353434[[#This Row],[Tr. 5 Gross Acreage]]*Table1353434[[#This Row],[Tr.5 Mineral Interest]]</f>
        <v>0.40190478200000002</v>
      </c>
      <c r="U24" s="28">
        <v>4.7619050000000003E-2</v>
      </c>
      <c r="V24" s="28"/>
      <c r="W24" s="40">
        <v>42.581000000000003</v>
      </c>
      <c r="X24" s="34">
        <f t="shared" si="0"/>
        <v>2.0276667680500005</v>
      </c>
      <c r="Y24" s="31"/>
      <c r="Z24" s="31"/>
      <c r="AA24" s="35"/>
      <c r="AB24" s="34"/>
      <c r="AC24" s="34">
        <f>Table1353434[[#This Row],[Tr. 1 Mineral Acres]]+Table1353434[[#This Row],[Tr. 2 Mineral Acres]]+Table1353434[[#This Row],[Tr. 3 Mineral Acres]]+Table1353434[[#This Row],[Tr. 4 Mineral Acres]]+Table1353434[[#This Row],[Tr. 5 Mineral Acres]]+Table1353434[[#This Row],[Tr. 6 Mineral Acres]]+Table1353434[[#This Row],[Tr. 7 Mineral Acres]]</f>
        <v>3.7735239982000004</v>
      </c>
      <c r="AD24" s="34"/>
      <c r="AE24" s="37" t="s">
        <v>57</v>
      </c>
      <c r="AF24" s="38">
        <v>0.16666666666666666</v>
      </c>
      <c r="AG24" s="38">
        <f>Table1353434[[#This Row],[Lease Roy.]]*Table1353434[[#This Row],[Unit Totals]]</f>
        <v>0.62892066636666666</v>
      </c>
      <c r="AH24" s="38"/>
      <c r="AI24" s="38"/>
      <c r="AJ24" s="34" t="s">
        <v>64</v>
      </c>
    </row>
    <row r="25" spans="1:36" ht="42.75" x14ac:dyDescent="0.45">
      <c r="A25" s="39" t="s">
        <v>42</v>
      </c>
      <c r="B25" s="31"/>
      <c r="C25" s="41"/>
      <c r="D25" s="31"/>
      <c r="E25" s="28"/>
      <c r="F25" s="28"/>
      <c r="G25" s="29"/>
      <c r="H25" s="28"/>
      <c r="I25" s="28">
        <v>1.190476E-2</v>
      </c>
      <c r="J25" s="28"/>
      <c r="K25" s="30">
        <v>28.222999999999999</v>
      </c>
      <c r="L25" s="31">
        <f>Table1353434[[#This Row],[Tr. 3 Gross Acreage]]*Table1353434[[#This Row],[Tr.3 Mineral Interest]]</f>
        <v>0.33598804148</v>
      </c>
      <c r="M25" s="28"/>
      <c r="N25" s="28"/>
      <c r="O25" s="33"/>
      <c r="P25" s="34"/>
      <c r="Q25" s="28">
        <v>1.190476E-2</v>
      </c>
      <c r="R25" s="28"/>
      <c r="S25" s="33">
        <v>8.44</v>
      </c>
      <c r="T25" s="34">
        <f>Table1353434[[#This Row],[Tr. 5 Gross Acreage]]*Table1353434[[#This Row],[Tr.5 Mineral Interest]]</f>
        <v>0.10047617439999999</v>
      </c>
      <c r="U25" s="28">
        <v>1.190476E-2</v>
      </c>
      <c r="V25" s="28"/>
      <c r="W25" s="40">
        <v>42.581000000000003</v>
      </c>
      <c r="X25" s="34">
        <f t="shared" si="0"/>
        <v>0.50691658556000008</v>
      </c>
      <c r="Y25" s="28"/>
      <c r="Z25" s="28"/>
      <c r="AA25" s="35"/>
      <c r="AB25" s="34"/>
      <c r="AC25" s="34">
        <f>Table1353434[[#This Row],[Tr. 1 Mineral Acres]]+Table1353434[[#This Row],[Tr. 2 Mineral Acres]]+Table1353434[[#This Row],[Tr. 3 Mineral Acres]]+Table1353434[[#This Row],[Tr. 4 Mineral Acres]]+Table1353434[[#This Row],[Tr. 5 Mineral Acres]]+Table1353434[[#This Row],[Tr. 6 Mineral Acres]]+Table1353434[[#This Row],[Tr. 7 Mineral Acres]]</f>
        <v>0.94338080144000003</v>
      </c>
      <c r="AD25" s="34"/>
      <c r="AE25" s="37" t="s">
        <v>57</v>
      </c>
      <c r="AF25" s="38">
        <v>0.16666666666666666</v>
      </c>
      <c r="AG25" s="38">
        <f>Table1353434[[#This Row],[Lease Roy.]]*Table1353434[[#This Row],[Unit Totals]]</f>
        <v>0.15723013357333332</v>
      </c>
      <c r="AH25" s="38"/>
      <c r="AI25" s="38"/>
      <c r="AJ25" s="34" t="s">
        <v>62</v>
      </c>
    </row>
    <row r="26" spans="1:36" ht="42.75" x14ac:dyDescent="0.45">
      <c r="A26" s="44" t="s">
        <v>82</v>
      </c>
      <c r="B26" s="31"/>
      <c r="C26" s="41"/>
      <c r="D26" s="31"/>
      <c r="E26" s="28">
        <v>5.9523800000000002E-3</v>
      </c>
      <c r="F26" s="28"/>
      <c r="G26" s="29">
        <v>106.19</v>
      </c>
      <c r="H26" s="28">
        <f>Table1353434[[#This Row],[Tr. 2 
Gross Acreage]]*Table1353434[[#This Row],[Tr. 2
Mineral Interest]]</f>
        <v>0.63208323219999996</v>
      </c>
      <c r="I26" s="28">
        <v>5.9523800000000002E-3</v>
      </c>
      <c r="J26" s="28"/>
      <c r="K26" s="30">
        <v>28.222999999999999</v>
      </c>
      <c r="L26" s="28">
        <f>Table1353434[[#This Row],[Tr. 3 Gross Acreage]]*Table1353434[[#This Row],[Tr.3 Mineral Interest]]</f>
        <v>0.16799402074</v>
      </c>
      <c r="M26" s="28"/>
      <c r="N26" s="28"/>
      <c r="O26" s="29"/>
      <c r="P26" s="28"/>
      <c r="Q26" s="28">
        <v>5.9523800000000002E-3</v>
      </c>
      <c r="R26" s="28"/>
      <c r="S26" s="33">
        <v>8.44</v>
      </c>
      <c r="T26" s="28">
        <f>Table1353434[[#This Row],[Tr. 5 Gross Acreage]]*Table1353434[[#This Row],[Tr.5 Mineral Interest]]</f>
        <v>5.0238087199999996E-2</v>
      </c>
      <c r="U26" s="28"/>
      <c r="V26" s="28"/>
      <c r="W26" s="30"/>
      <c r="X26" s="28"/>
      <c r="Y26" s="28"/>
      <c r="Z26" s="28"/>
      <c r="AA26" s="30"/>
      <c r="AB26" s="28"/>
      <c r="AC26" s="28">
        <f>Table1353434[[#This Row],[Tr. 1 Mineral Acres]]+Table1353434[[#This Row],[Tr. 2 Mineral Acres]]+Table1353434[[#This Row],[Tr. 3 Mineral Acres]]+Table1353434[[#This Row],[Tr. 4 Mineral Acres]]+Table1353434[[#This Row],[Tr. 5 Mineral Acres]]+Table1353434[[#This Row],[Tr. 6 Mineral Acres]]+Table1353434[[#This Row],[Tr. 7 Mineral Acres]]</f>
        <v>0.85031534013999999</v>
      </c>
      <c r="AD26" s="28"/>
      <c r="AE26" s="28" t="s">
        <v>58</v>
      </c>
      <c r="AF26" s="38"/>
      <c r="AG26" s="38">
        <f>Table1353434[[#This Row],[Lease Roy.]]*Table1353434[[#This Row],[Unit Totals]]</f>
        <v>0</v>
      </c>
      <c r="AH26" s="38"/>
      <c r="AI26" s="38"/>
      <c r="AJ26" s="45" t="s">
        <v>98</v>
      </c>
    </row>
    <row r="27" spans="1:36" ht="42.75" x14ac:dyDescent="0.45">
      <c r="A27" s="44" t="s">
        <v>80</v>
      </c>
      <c r="B27" s="31"/>
      <c r="C27" s="41"/>
      <c r="D27" s="31"/>
      <c r="E27" s="28">
        <v>5.9523800000000002E-3</v>
      </c>
      <c r="F27" s="28"/>
      <c r="G27" s="29">
        <v>106.19</v>
      </c>
      <c r="H27" s="28">
        <f>Table1353434[[#This Row],[Tr. 2 
Gross Acreage]]*Table1353434[[#This Row],[Tr. 2
Mineral Interest]]</f>
        <v>0.63208323219999996</v>
      </c>
      <c r="I27" s="28">
        <v>5.9523800000000002E-3</v>
      </c>
      <c r="J27" s="28"/>
      <c r="K27" s="30">
        <v>28.222999999999999</v>
      </c>
      <c r="L27" s="28">
        <f>Table1353434[[#This Row],[Tr. 3 Gross Acreage]]*Table1353434[[#This Row],[Tr.3 Mineral Interest]]</f>
        <v>0.16799402074</v>
      </c>
      <c r="M27" s="28"/>
      <c r="N27" s="28"/>
      <c r="O27" s="29"/>
      <c r="P27" s="28"/>
      <c r="Q27" s="28">
        <v>5.9523800000000002E-3</v>
      </c>
      <c r="R27" s="28"/>
      <c r="S27" s="33">
        <v>8.44</v>
      </c>
      <c r="T27" s="28">
        <f>Table1353434[[#This Row],[Tr. 5 Gross Acreage]]*Table1353434[[#This Row],[Tr.5 Mineral Interest]]</f>
        <v>5.0238087199999996E-2</v>
      </c>
      <c r="U27" s="28"/>
      <c r="V27" s="28"/>
      <c r="W27" s="30"/>
      <c r="X27" s="28"/>
      <c r="Y27" s="28"/>
      <c r="Z27" s="28"/>
      <c r="AA27" s="30"/>
      <c r="AB27" s="28"/>
      <c r="AC27" s="28">
        <f>Table1353434[[#This Row],[Tr. 1 Mineral Acres]]+Table1353434[[#This Row],[Tr. 2 Mineral Acres]]+Table1353434[[#This Row],[Tr. 3 Mineral Acres]]+Table1353434[[#This Row],[Tr. 4 Mineral Acres]]+Table1353434[[#This Row],[Tr. 5 Mineral Acres]]+Table1353434[[#This Row],[Tr. 6 Mineral Acres]]+Table1353434[[#This Row],[Tr. 7 Mineral Acres]]</f>
        <v>0.85031534013999999</v>
      </c>
      <c r="AD27" s="28"/>
      <c r="AE27" s="28" t="s">
        <v>58</v>
      </c>
      <c r="AF27" s="38"/>
      <c r="AG27" s="38">
        <f>Table1353434[[#This Row],[Lease Roy.]]*Table1353434[[#This Row],[Unit Totals]]</f>
        <v>0</v>
      </c>
      <c r="AH27" s="38"/>
      <c r="AI27" s="38"/>
      <c r="AJ27" s="45" t="s">
        <v>98</v>
      </c>
    </row>
    <row r="28" spans="1:36" ht="42.75" x14ac:dyDescent="0.45">
      <c r="A28" s="44" t="s">
        <v>81</v>
      </c>
      <c r="B28" s="31"/>
      <c r="C28" s="41"/>
      <c r="D28" s="31"/>
      <c r="E28" s="28">
        <v>5.9523800000000002E-3</v>
      </c>
      <c r="F28" s="28"/>
      <c r="G28" s="29">
        <v>106.19</v>
      </c>
      <c r="H28" s="28">
        <f>Table1353434[[#This Row],[Tr. 2 
Gross Acreage]]*Table1353434[[#This Row],[Tr. 2
Mineral Interest]]</f>
        <v>0.63208323219999996</v>
      </c>
      <c r="I28" s="28">
        <v>5.9523800000000002E-3</v>
      </c>
      <c r="J28" s="28"/>
      <c r="K28" s="30">
        <v>28.222999999999999</v>
      </c>
      <c r="L28" s="28">
        <f>Table1353434[[#This Row],[Tr. 3 Gross Acreage]]*Table1353434[[#This Row],[Tr.3 Mineral Interest]]</f>
        <v>0.16799402074</v>
      </c>
      <c r="M28" s="28"/>
      <c r="N28" s="28"/>
      <c r="O28" s="29"/>
      <c r="P28" s="28"/>
      <c r="Q28" s="28">
        <v>5.9523800000000002E-3</v>
      </c>
      <c r="R28" s="28"/>
      <c r="S28" s="33">
        <v>8.44</v>
      </c>
      <c r="T28" s="28">
        <f>Table1353434[[#This Row],[Tr. 5 Gross Acreage]]*Table1353434[[#This Row],[Tr.5 Mineral Interest]]</f>
        <v>5.0238087199999996E-2</v>
      </c>
      <c r="U28" s="28"/>
      <c r="V28" s="28"/>
      <c r="W28" s="30"/>
      <c r="X28" s="28"/>
      <c r="Y28" s="28"/>
      <c r="Z28" s="28"/>
      <c r="AA28" s="30"/>
      <c r="AB28" s="28"/>
      <c r="AC28" s="28">
        <f>Table1353434[[#This Row],[Tr. 1 Mineral Acres]]+Table1353434[[#This Row],[Tr. 2 Mineral Acres]]+Table1353434[[#This Row],[Tr. 3 Mineral Acres]]+Table1353434[[#This Row],[Tr. 4 Mineral Acres]]+Table1353434[[#This Row],[Tr. 5 Mineral Acres]]+Table1353434[[#This Row],[Tr. 6 Mineral Acres]]+Table1353434[[#This Row],[Tr. 7 Mineral Acres]]</f>
        <v>0.85031534013999999</v>
      </c>
      <c r="AD28" s="28"/>
      <c r="AE28" s="28" t="s">
        <v>58</v>
      </c>
      <c r="AF28" s="38"/>
      <c r="AG28" s="38">
        <f>Table1353434[[#This Row],[Lease Roy.]]*Table1353434[[#This Row],[Unit Totals]]</f>
        <v>0</v>
      </c>
      <c r="AH28" s="38"/>
      <c r="AI28" s="38"/>
      <c r="AJ28" s="45" t="s">
        <v>98</v>
      </c>
    </row>
    <row r="29" spans="1:36" ht="128.25" x14ac:dyDescent="0.45">
      <c r="A29" s="44" t="s">
        <v>83</v>
      </c>
      <c r="B29" s="31"/>
      <c r="C29" s="41"/>
      <c r="D29" s="31"/>
      <c r="E29" s="28">
        <v>5.9523800000000002E-3</v>
      </c>
      <c r="F29" s="28"/>
      <c r="G29" s="29">
        <v>106.19</v>
      </c>
      <c r="H29" s="28">
        <f>Table1353434[[#This Row],[Tr. 2 
Gross Acreage]]*Table1353434[[#This Row],[Tr. 2
Mineral Interest]]</f>
        <v>0.63208323219999996</v>
      </c>
      <c r="I29" s="28">
        <v>5.9523800000000002E-3</v>
      </c>
      <c r="J29" s="28"/>
      <c r="K29" s="30">
        <v>28.222999999999999</v>
      </c>
      <c r="L29" s="28">
        <f>Table1353434[[#This Row],[Tr. 3 Gross Acreage]]*Table1353434[[#This Row],[Tr.3 Mineral Interest]]</f>
        <v>0.16799402074</v>
      </c>
      <c r="M29" s="28"/>
      <c r="N29" s="28"/>
      <c r="O29" s="29"/>
      <c r="P29" s="28"/>
      <c r="Q29" s="28">
        <v>5.9523800000000002E-3</v>
      </c>
      <c r="R29" s="28"/>
      <c r="S29" s="33">
        <v>8.44</v>
      </c>
      <c r="T29" s="28">
        <f>Table1353434[[#This Row],[Tr. 5 Gross Acreage]]*Table1353434[[#This Row],[Tr.5 Mineral Interest]]</f>
        <v>5.0238087199999996E-2</v>
      </c>
      <c r="U29" s="28"/>
      <c r="V29" s="28"/>
      <c r="W29" s="30"/>
      <c r="X29" s="28"/>
      <c r="Y29" s="28"/>
      <c r="Z29" s="28"/>
      <c r="AA29" s="30"/>
      <c r="AB29" s="28"/>
      <c r="AC29" s="28">
        <f>Table1353434[[#This Row],[Tr. 1 Mineral Acres]]+Table1353434[[#This Row],[Tr. 2 Mineral Acres]]+Table1353434[[#This Row],[Tr. 3 Mineral Acres]]+Table1353434[[#This Row],[Tr. 4 Mineral Acres]]+Table1353434[[#This Row],[Tr. 5 Mineral Acres]]+Table1353434[[#This Row],[Tr. 6 Mineral Acres]]+Table1353434[[#This Row],[Tr. 7 Mineral Acres]]</f>
        <v>0.85031534013999999</v>
      </c>
      <c r="AD29" s="28"/>
      <c r="AE29" s="28" t="s">
        <v>58</v>
      </c>
      <c r="AF29" s="38"/>
      <c r="AG29" s="38">
        <f>Table1353434[[#This Row],[Lease Roy.]]*Table1353434[[#This Row],[Unit Totals]]</f>
        <v>0</v>
      </c>
      <c r="AH29" s="38"/>
      <c r="AI29" s="38"/>
      <c r="AJ29" s="45" t="s">
        <v>98</v>
      </c>
    </row>
    <row r="30" spans="1:36" ht="42.75" x14ac:dyDescent="0.45">
      <c r="A30" s="25" t="s">
        <v>46</v>
      </c>
      <c r="B30" s="31"/>
      <c r="C30" s="41"/>
      <c r="D30" s="31"/>
      <c r="E30" s="28"/>
      <c r="F30" s="28"/>
      <c r="G30" s="29"/>
      <c r="H30" s="28"/>
      <c r="I30" s="28"/>
      <c r="J30" s="28"/>
      <c r="K30" s="30"/>
      <c r="L30" s="28"/>
      <c r="M30" s="28">
        <v>0.5</v>
      </c>
      <c r="N30" s="28"/>
      <c r="O30" s="46">
        <v>14.64</v>
      </c>
      <c r="P30" s="34">
        <f>Table1353434[[#This Row],[Tr. 4 Gross Acreage]]*Table1353434[[#This Row],[Tr. 4 Mineral Interest]]</f>
        <v>7.32</v>
      </c>
      <c r="Q30" s="28">
        <v>0.20238095</v>
      </c>
      <c r="R30" s="28"/>
      <c r="S30" s="33">
        <v>8.44</v>
      </c>
      <c r="T30" s="28">
        <f>Table1353434[[#This Row],[Tr. 5 Gross Acreage]]*Table1353434[[#This Row],[Tr.5 Mineral Interest]]</f>
        <v>1.708095218</v>
      </c>
      <c r="U30" s="28"/>
      <c r="V30" s="28"/>
      <c r="W30" s="30"/>
      <c r="X30" s="34"/>
      <c r="Y30" s="28"/>
      <c r="Z30" s="28"/>
      <c r="AA30" s="35"/>
      <c r="AB30" s="28"/>
      <c r="AC30" s="28">
        <f>Table1353434[[#This Row],[Tr. 1 Mineral Acres]]+Table1353434[[#This Row],[Tr. 2 Mineral Acres]]+Table1353434[[#This Row],[Tr. 3 Mineral Acres]]+Table1353434[[#This Row],[Tr. 4 Mineral Acres]]+Table1353434[[#This Row],[Tr. 5 Mineral Acres]]+Table1353434[[#This Row],[Tr. 6 Mineral Acres]]+Table1353434[[#This Row],[Tr. 7 Mineral Acres]]</f>
        <v>9.0280952180000007</v>
      </c>
      <c r="AD30" s="28"/>
      <c r="AE30" s="34" t="s">
        <v>58</v>
      </c>
      <c r="AF30" s="38"/>
      <c r="AG30" s="38">
        <f>Table1353434[[#This Row],[Lease Roy.]]*Table1353434[[#This Row],[Unit Totals]]</f>
        <v>0</v>
      </c>
      <c r="AH30" s="38"/>
      <c r="AI30" s="38"/>
      <c r="AJ30" s="34" t="s">
        <v>65</v>
      </c>
    </row>
    <row r="31" spans="1:36" ht="42.75" x14ac:dyDescent="0.45">
      <c r="A31" s="25" t="s">
        <v>47</v>
      </c>
      <c r="B31" s="47"/>
      <c r="C31" s="48"/>
      <c r="D31" s="47"/>
      <c r="E31" s="49"/>
      <c r="F31" s="49"/>
      <c r="G31" s="50"/>
      <c r="H31" s="28"/>
      <c r="I31" s="49"/>
      <c r="J31" s="49"/>
      <c r="K31" s="51"/>
      <c r="L31" s="49"/>
      <c r="M31" s="28"/>
      <c r="N31" s="49"/>
      <c r="O31" s="50"/>
      <c r="P31" s="49"/>
      <c r="Q31" s="28"/>
      <c r="R31" s="28"/>
      <c r="S31" s="33"/>
      <c r="T31" s="49"/>
      <c r="U31" s="49"/>
      <c r="V31" s="49"/>
      <c r="W31" s="51"/>
      <c r="X31" s="34"/>
      <c r="Y31" s="28">
        <v>0.25</v>
      </c>
      <c r="Z31" s="28"/>
      <c r="AA31" s="35">
        <v>20.545999999999999</v>
      </c>
      <c r="AB31" s="49">
        <f>Table1353434[[#This Row],[Tr. 7 Gross Acreage]]*Table1353434[[#This Row],[Tr. 7 Mineral Interest]]</f>
        <v>5.1364999999999998</v>
      </c>
      <c r="AC31" s="49">
        <f>Table1353434[[#This Row],[Tr. 1 Mineral Acres]]+Table1353434[[#This Row],[Tr. 2 Mineral Acres]]+Table1353434[[#This Row],[Tr. 3 Mineral Acres]]+Table1353434[[#This Row],[Tr. 4 Mineral Acres]]+Table1353434[[#This Row],[Tr. 5 Mineral Acres]]+Table1353434[[#This Row],[Tr. 6 Mineral Acres]]+Table1353434[[#This Row],[Tr. 7 Mineral Acres]]</f>
        <v>5.1364999999999998</v>
      </c>
      <c r="AD31" s="49"/>
      <c r="AE31" s="34" t="s">
        <v>58</v>
      </c>
      <c r="AF31" s="38"/>
      <c r="AG31" s="38">
        <f>Table1353434[[#This Row],[Lease Roy.]]*Table1353434[[#This Row],[Unit Totals]]</f>
        <v>0</v>
      </c>
      <c r="AH31" s="38"/>
      <c r="AI31" s="38"/>
      <c r="AJ31" s="34" t="s">
        <v>62</v>
      </c>
    </row>
    <row r="32" spans="1:36" x14ac:dyDescent="0.45">
      <c r="A32" s="65" t="s">
        <v>93</v>
      </c>
      <c r="B32" s="31"/>
      <c r="C32" s="41"/>
      <c r="D32" s="31"/>
      <c r="E32" s="28"/>
      <c r="F32" s="28"/>
      <c r="G32" s="29"/>
      <c r="H32" s="28"/>
      <c r="I32" s="66">
        <v>0.125</v>
      </c>
      <c r="J32" s="28"/>
      <c r="K32" s="30"/>
      <c r="L32" s="28"/>
      <c r="M32" s="28"/>
      <c r="N32" s="28"/>
      <c r="O32" s="29"/>
      <c r="P32" s="28"/>
      <c r="Q32" s="28"/>
      <c r="R32" s="28"/>
      <c r="S32" s="33"/>
      <c r="T32" s="28"/>
      <c r="U32" s="28"/>
      <c r="V32" s="28"/>
      <c r="W32" s="30"/>
      <c r="X32" s="34"/>
      <c r="Y32" s="28"/>
      <c r="Z32" s="28"/>
      <c r="AA32" s="35"/>
      <c r="AB32" s="28"/>
      <c r="AC32" s="28">
        <f>Table1353434[[#This Row],[Tr. 1 Mineral Acres]]+Table1353434[[#This Row],[Tr. 2 Mineral Acres]]+Table1353434[[#This Row],[Tr. 3 Mineral Acres]]+Table1353434[[#This Row],[Tr. 4 Mineral Acres]]+Table1353434[[#This Row],[Tr. 5 Mineral Acres]]+Table1353434[[#This Row],[Tr. 6 Mineral Acres]]+Table1353434[[#This Row],[Tr. 7 Mineral Acres]]</f>
        <v>0</v>
      </c>
      <c r="AD32" s="28"/>
      <c r="AE32" s="64"/>
      <c r="AF32" s="38"/>
      <c r="AG32" s="38">
        <f>Table1353434[[#This Row],[Lease Roy.]]*Table1353434[[#This Row],[Unit Totals]]</f>
        <v>0</v>
      </c>
      <c r="AH32" s="38"/>
      <c r="AI32" s="38"/>
      <c r="AJ32" s="34"/>
    </row>
    <row r="33" spans="1:36" ht="42.75" x14ac:dyDescent="0.45">
      <c r="A33" s="25" t="s">
        <v>43</v>
      </c>
      <c r="B33" s="31"/>
      <c r="C33" s="41"/>
      <c r="D33" s="31"/>
      <c r="E33" s="28"/>
      <c r="F33" s="28"/>
      <c r="G33" s="29"/>
      <c r="H33" s="28"/>
      <c r="I33" s="28"/>
      <c r="J33" s="28"/>
      <c r="K33" s="30">
        <v>16.709399999999999</v>
      </c>
      <c r="L33" s="28">
        <f>Table1353434[[#This Row],[Tr. 3 Gross Acreage]]*I32</f>
        <v>2.0886749999999998</v>
      </c>
      <c r="M33" s="28"/>
      <c r="N33" s="28"/>
      <c r="O33" s="29"/>
      <c r="P33" s="28"/>
      <c r="Q33" s="28"/>
      <c r="R33" s="28"/>
      <c r="S33" s="29"/>
      <c r="T33" s="28"/>
      <c r="U33" s="28"/>
      <c r="V33" s="28"/>
      <c r="W33" s="30"/>
      <c r="X33" s="28"/>
      <c r="Y33" s="28"/>
      <c r="Z33" s="28"/>
      <c r="AA33" s="30"/>
      <c r="AB33" s="28"/>
      <c r="AC33" s="28">
        <f>Table1353434[[#This Row],[Tr. 1 Mineral Acres]]+Table1353434[[#This Row],[Tr. 2 Mineral Acres]]+Table1353434[[#This Row],[Tr. 3 Mineral Acres]]+Table1353434[[#This Row],[Tr. 4 Mineral Acres]]+Table1353434[[#This Row],[Tr. 5 Mineral Acres]]+Table1353434[[#This Row],[Tr. 6 Mineral Acres]]+Table1353434[[#This Row],[Tr. 7 Mineral Acres]]</f>
        <v>2.0886749999999998</v>
      </c>
      <c r="AD33" s="28"/>
      <c r="AE33" s="28" t="s">
        <v>58</v>
      </c>
      <c r="AF33" s="38"/>
      <c r="AG33" s="38">
        <f>Table1353434[[#This Row],[Lease Roy.]]*Table1353434[[#This Row],[Unit Totals]]</f>
        <v>0</v>
      </c>
      <c r="AH33" s="38"/>
      <c r="AI33" s="38"/>
      <c r="AJ33" s="45" t="s">
        <v>56</v>
      </c>
    </row>
    <row r="34" spans="1:36" ht="57" x14ac:dyDescent="0.45">
      <c r="A34" s="39" t="s">
        <v>44</v>
      </c>
      <c r="B34" s="31"/>
      <c r="C34" s="41"/>
      <c r="D34" s="31"/>
      <c r="E34" s="28"/>
      <c r="F34" s="28"/>
      <c r="G34" s="29"/>
      <c r="H34" s="28"/>
      <c r="I34" s="28"/>
      <c r="J34" s="28"/>
      <c r="K34" s="30">
        <v>5</v>
      </c>
      <c r="L34" s="28">
        <f>Table1353434[[#This Row],[Tr. 3 Gross Acreage]]*I32</f>
        <v>0.625</v>
      </c>
      <c r="M34" s="28"/>
      <c r="N34" s="28"/>
      <c r="O34" s="29"/>
      <c r="P34" s="28"/>
      <c r="Q34" s="28"/>
      <c r="R34" s="28"/>
      <c r="S34" s="29"/>
      <c r="T34" s="28"/>
      <c r="U34" s="28"/>
      <c r="V34" s="28"/>
      <c r="W34" s="30"/>
      <c r="X34" s="28"/>
      <c r="Y34" s="28"/>
      <c r="Z34" s="28"/>
      <c r="AA34" s="30"/>
      <c r="AB34" s="28"/>
      <c r="AC34" s="28">
        <f>Table1353434[[#This Row],[Tr. 1 Mineral Acres]]+Table1353434[[#This Row],[Tr. 2 Mineral Acres]]+Table1353434[[#This Row],[Tr. 3 Mineral Acres]]+Table1353434[[#This Row],[Tr. 4 Mineral Acres]]+Table1353434[[#This Row],[Tr. 5 Mineral Acres]]+Table1353434[[#This Row],[Tr. 6 Mineral Acres]]+Table1353434[[#This Row],[Tr. 7 Mineral Acres]]</f>
        <v>0.625</v>
      </c>
      <c r="AD34" s="28"/>
      <c r="AE34" s="64" t="s">
        <v>57</v>
      </c>
      <c r="AF34" s="38">
        <v>0.1875</v>
      </c>
      <c r="AG34" s="38">
        <f>Table1353434[[#This Row],[Lease Roy.]]*Table1353434[[#This Row],[Unit Totals]]</f>
        <v>0.1171875</v>
      </c>
      <c r="AH34" s="38"/>
      <c r="AI34" s="38"/>
      <c r="AJ34" s="45" t="s">
        <v>56</v>
      </c>
    </row>
    <row r="35" spans="1:36" ht="61.05" customHeight="1" x14ac:dyDescent="0.45">
      <c r="A35" s="25" t="s">
        <v>45</v>
      </c>
      <c r="B35" s="31"/>
      <c r="C35" s="41"/>
      <c r="D35" s="31"/>
      <c r="E35" s="28"/>
      <c r="F35" s="28"/>
      <c r="G35" s="29"/>
      <c r="H35" s="28"/>
      <c r="I35" s="28"/>
      <c r="J35" s="28"/>
      <c r="K35" s="30">
        <v>5</v>
      </c>
      <c r="L35" s="28">
        <f>Table1353434[[#This Row],[Tr. 3 Gross Acreage]]*I32</f>
        <v>0.625</v>
      </c>
      <c r="M35" s="28"/>
      <c r="N35" s="28"/>
      <c r="O35" s="29"/>
      <c r="P35" s="28"/>
      <c r="Q35" s="28"/>
      <c r="R35" s="28"/>
      <c r="S35" s="29"/>
      <c r="T35" s="28"/>
      <c r="U35" s="28"/>
      <c r="V35" s="28"/>
      <c r="W35" s="30"/>
      <c r="X35" s="28"/>
      <c r="Y35" s="28"/>
      <c r="Z35" s="28"/>
      <c r="AA35" s="30"/>
      <c r="AB35" s="28"/>
      <c r="AC35" s="28">
        <f>Table1353434[[#This Row],[Tr. 1 Mineral Acres]]+Table1353434[[#This Row],[Tr. 2 Mineral Acres]]+Table1353434[[#This Row],[Tr. 3 Mineral Acres]]+Table1353434[[#This Row],[Tr. 4 Mineral Acres]]+Table1353434[[#This Row],[Tr. 5 Mineral Acres]]+Table1353434[[#This Row],[Tr. 6 Mineral Acres]]+Table1353434[[#This Row],[Tr. 7 Mineral Acres]]</f>
        <v>0.625</v>
      </c>
      <c r="AD35" s="28"/>
      <c r="AE35" s="28" t="s">
        <v>58</v>
      </c>
      <c r="AF35" s="38"/>
      <c r="AG35" s="38">
        <f>Table1353434[[#This Row],[Lease Roy.]]*Table1353434[[#This Row],[Unit Totals]]</f>
        <v>0</v>
      </c>
      <c r="AH35" s="38"/>
      <c r="AI35" s="38"/>
      <c r="AJ35" s="45" t="s">
        <v>56</v>
      </c>
    </row>
    <row r="36" spans="1:36" x14ac:dyDescent="0.45">
      <c r="A36" s="65" t="s">
        <v>93</v>
      </c>
      <c r="B36" s="31"/>
      <c r="C36" s="41"/>
      <c r="D36" s="31"/>
      <c r="E36" s="66">
        <v>5.9523800000000002E-2</v>
      </c>
      <c r="F36" s="28"/>
      <c r="G36" s="29"/>
      <c r="H36" s="28"/>
      <c r="I36" s="28"/>
      <c r="J36" s="28"/>
      <c r="K36" s="30"/>
      <c r="L36" s="28"/>
      <c r="M36" s="28"/>
      <c r="N36" s="28"/>
      <c r="O36" s="29"/>
      <c r="P36" s="28"/>
      <c r="Q36" s="28"/>
      <c r="R36" s="28"/>
      <c r="S36" s="33"/>
      <c r="T36" s="28"/>
      <c r="U36" s="28"/>
      <c r="V36" s="28"/>
      <c r="W36" s="30"/>
      <c r="X36" s="34"/>
      <c r="Y36" s="28"/>
      <c r="Z36" s="28"/>
      <c r="AA36" s="35"/>
      <c r="AB36" s="28"/>
      <c r="AC36" s="28">
        <f>Table1353434[[#This Row],[Tr. 1 Mineral Acres]]+Table1353434[[#This Row],[Tr. 2 Mineral Acres]]+Table1353434[[#This Row],[Tr. 3 Mineral Acres]]+Table1353434[[#This Row],[Tr. 4 Mineral Acres]]+Table1353434[[#This Row],[Tr. 5 Mineral Acres]]+Table1353434[[#This Row],[Tr. 6 Mineral Acres]]+Table1353434[[#This Row],[Tr. 7 Mineral Acres]]</f>
        <v>0</v>
      </c>
      <c r="AD36" s="28"/>
      <c r="AE36" s="28"/>
      <c r="AF36" s="38"/>
      <c r="AG36" s="38">
        <f>Table1353434[[#This Row],[Lease Roy.]]*Table1353434[[#This Row],[Unit Totals]]</f>
        <v>0</v>
      </c>
      <c r="AH36" s="38"/>
      <c r="AI36" s="38"/>
      <c r="AJ36" s="34"/>
    </row>
    <row r="37" spans="1:36" ht="42.75" x14ac:dyDescent="0.45">
      <c r="A37" s="39" t="s">
        <v>48</v>
      </c>
      <c r="B37" s="31"/>
      <c r="C37" s="41"/>
      <c r="D37" s="31"/>
      <c r="E37" s="28"/>
      <c r="F37" s="28"/>
      <c r="G37" s="29">
        <v>10.9</v>
      </c>
      <c r="H37" s="28">
        <f>Table1353434[[#This Row],[Tr. 2 
Gross Acreage]]*E$36</f>
        <v>0.64880942000000008</v>
      </c>
      <c r="I37" s="28"/>
      <c r="J37" s="28"/>
      <c r="K37" s="30"/>
      <c r="L37" s="28"/>
      <c r="M37" s="28"/>
      <c r="N37" s="28"/>
      <c r="O37" s="29"/>
      <c r="P37" s="28"/>
      <c r="Q37" s="28"/>
      <c r="R37" s="28"/>
      <c r="S37" s="29"/>
      <c r="T37" s="28"/>
      <c r="U37" s="28"/>
      <c r="V37" s="28"/>
      <c r="W37" s="30"/>
      <c r="X37" s="28"/>
      <c r="Y37" s="28"/>
      <c r="Z37" s="28"/>
      <c r="AA37" s="30"/>
      <c r="AB37" s="28"/>
      <c r="AC37" s="28">
        <f>Table1353434[[#This Row],[Tr. 1 Mineral Acres]]+Table1353434[[#This Row],[Tr. 2 Mineral Acres]]+Table1353434[[#This Row],[Tr. 3 Mineral Acres]]+Table1353434[[#This Row],[Tr. 4 Mineral Acres]]+Table1353434[[#This Row],[Tr. 5 Mineral Acres]]+Table1353434[[#This Row],[Tr. 6 Mineral Acres]]+Table1353434[[#This Row],[Tr. 7 Mineral Acres]]</f>
        <v>0.64880942000000008</v>
      </c>
      <c r="AD37" s="28"/>
      <c r="AE37" s="67" t="s">
        <v>57</v>
      </c>
      <c r="AF37" s="68">
        <f>1/5</f>
        <v>0.2</v>
      </c>
      <c r="AG37" s="38">
        <f>Table1353434[[#This Row],[Lease Roy.]]*Table1353434[[#This Row],[Unit Totals]]</f>
        <v>0.12976188400000002</v>
      </c>
      <c r="AH37" s="38"/>
      <c r="AI37" s="38"/>
      <c r="AJ37" s="45" t="s">
        <v>77</v>
      </c>
    </row>
    <row r="38" spans="1:36" ht="42.75" x14ac:dyDescent="0.45">
      <c r="A38" s="39" t="s">
        <v>78</v>
      </c>
      <c r="B38" s="31"/>
      <c r="C38" s="41"/>
      <c r="D38" s="31"/>
      <c r="E38" s="28"/>
      <c r="F38" s="28"/>
      <c r="G38" s="29">
        <v>13.6</v>
      </c>
      <c r="H38" s="28">
        <f>Table1353434[[#This Row],[Tr. 2 
Gross Acreage]]*E$36</f>
        <v>0.80952367999999997</v>
      </c>
      <c r="I38" s="28"/>
      <c r="J38" s="28"/>
      <c r="K38" s="30"/>
      <c r="L38" s="28"/>
      <c r="M38" s="28"/>
      <c r="N38" s="28"/>
      <c r="O38" s="29"/>
      <c r="P38" s="28"/>
      <c r="Q38" s="28"/>
      <c r="R38" s="28"/>
      <c r="S38" s="29"/>
      <c r="T38" s="28"/>
      <c r="U38" s="28"/>
      <c r="V38" s="28"/>
      <c r="W38" s="30"/>
      <c r="X38" s="28"/>
      <c r="Y38" s="28"/>
      <c r="Z38" s="28"/>
      <c r="AA38" s="30"/>
      <c r="AB38" s="28"/>
      <c r="AC38" s="28">
        <f>Table1353434[[#This Row],[Tr. 1 Mineral Acres]]+Table1353434[[#This Row],[Tr. 2 Mineral Acres]]+Table1353434[[#This Row],[Tr. 3 Mineral Acres]]+Table1353434[[#This Row],[Tr. 4 Mineral Acres]]+Table1353434[[#This Row],[Tr. 5 Mineral Acres]]+Table1353434[[#This Row],[Tr. 6 Mineral Acres]]+Table1353434[[#This Row],[Tr. 7 Mineral Acres]]</f>
        <v>0.80952367999999997</v>
      </c>
      <c r="AD38" s="28"/>
      <c r="AE38" s="69" t="s">
        <v>58</v>
      </c>
      <c r="AF38" s="68"/>
      <c r="AG38" s="38">
        <f>Table1353434[[#This Row],[Lease Roy.]]*Table1353434[[#This Row],[Unit Totals]]</f>
        <v>0</v>
      </c>
      <c r="AH38" s="38"/>
      <c r="AI38" s="38"/>
      <c r="AJ38" s="45" t="s">
        <v>67</v>
      </c>
    </row>
    <row r="39" spans="1:36" ht="42.75" x14ac:dyDescent="0.45">
      <c r="A39" s="39" t="s">
        <v>49</v>
      </c>
      <c r="B39" s="31"/>
      <c r="C39" s="41"/>
      <c r="D39" s="31"/>
      <c r="E39" s="28"/>
      <c r="F39" s="28"/>
      <c r="G39" s="29">
        <v>10.5</v>
      </c>
      <c r="H39" s="28">
        <f>Table1353434[[#This Row],[Tr. 2 
Gross Acreage]]*E$36</f>
        <v>0.62499990000000005</v>
      </c>
      <c r="I39" s="28"/>
      <c r="J39" s="28"/>
      <c r="K39" s="30"/>
      <c r="L39" s="28"/>
      <c r="M39" s="28"/>
      <c r="N39" s="28"/>
      <c r="O39" s="29"/>
      <c r="P39" s="28"/>
      <c r="Q39" s="28"/>
      <c r="R39" s="28"/>
      <c r="S39" s="29"/>
      <c r="T39" s="28"/>
      <c r="U39" s="28"/>
      <c r="V39" s="28"/>
      <c r="W39" s="30"/>
      <c r="X39" s="28"/>
      <c r="Y39" s="28"/>
      <c r="Z39" s="28"/>
      <c r="AA39" s="30"/>
      <c r="AB39" s="28"/>
      <c r="AC39" s="28">
        <f>Table1353434[[#This Row],[Tr. 1 Mineral Acres]]+Table1353434[[#This Row],[Tr. 2 Mineral Acres]]+Table1353434[[#This Row],[Tr. 3 Mineral Acres]]+Table1353434[[#This Row],[Tr. 4 Mineral Acres]]+Table1353434[[#This Row],[Tr. 5 Mineral Acres]]+Table1353434[[#This Row],[Tr. 6 Mineral Acres]]+Table1353434[[#This Row],[Tr. 7 Mineral Acres]]</f>
        <v>0.62499990000000005</v>
      </c>
      <c r="AD39" s="28"/>
      <c r="AE39" s="73" t="s">
        <v>57</v>
      </c>
      <c r="AF39" s="68"/>
      <c r="AG39" s="38">
        <f>Table1353434[[#This Row],[Lease Roy.]]*Table1353434[[#This Row],[Unit Totals]]</f>
        <v>0</v>
      </c>
      <c r="AH39" s="38"/>
      <c r="AI39" s="38"/>
      <c r="AJ39" s="45" t="s">
        <v>68</v>
      </c>
    </row>
    <row r="40" spans="1:36" ht="42.75" x14ac:dyDescent="0.45">
      <c r="A40" s="39" t="s">
        <v>50</v>
      </c>
      <c r="B40" s="31"/>
      <c r="C40" s="41"/>
      <c r="D40" s="31"/>
      <c r="E40" s="28"/>
      <c r="F40" s="28"/>
      <c r="G40" s="29">
        <v>2</v>
      </c>
      <c r="H40" s="28">
        <f>Table1353434[[#This Row],[Tr. 2 
Gross Acreage]]*E$36</f>
        <v>0.1190476</v>
      </c>
      <c r="I40" s="28"/>
      <c r="J40" s="28"/>
      <c r="K40" s="30"/>
      <c r="L40" s="28"/>
      <c r="M40" s="28"/>
      <c r="N40" s="28"/>
      <c r="O40" s="29"/>
      <c r="P40" s="28"/>
      <c r="Q40" s="28"/>
      <c r="R40" s="28"/>
      <c r="S40" s="29"/>
      <c r="T40" s="28"/>
      <c r="U40" s="28"/>
      <c r="V40" s="28"/>
      <c r="W40" s="30"/>
      <c r="X40" s="28"/>
      <c r="Y40" s="28"/>
      <c r="Z40" s="28"/>
      <c r="AA40" s="30"/>
      <c r="AB40" s="28"/>
      <c r="AC40" s="28">
        <f>Table1353434[[#This Row],[Tr. 1 Mineral Acres]]+Table1353434[[#This Row],[Tr. 2 Mineral Acres]]+Table1353434[[#This Row],[Tr. 3 Mineral Acres]]+Table1353434[[#This Row],[Tr. 4 Mineral Acres]]+Table1353434[[#This Row],[Tr. 5 Mineral Acres]]+Table1353434[[#This Row],[Tr. 6 Mineral Acres]]+Table1353434[[#This Row],[Tr. 7 Mineral Acres]]</f>
        <v>0.1190476</v>
      </c>
      <c r="AD40" s="28"/>
      <c r="AE40" s="69" t="s">
        <v>58</v>
      </c>
      <c r="AF40" s="68"/>
      <c r="AG40" s="38">
        <f>Table1353434[[#This Row],[Lease Roy.]]*Table1353434[[#This Row],[Unit Totals]]</f>
        <v>0</v>
      </c>
      <c r="AH40" s="38"/>
      <c r="AI40" s="38"/>
      <c r="AJ40" s="45" t="s">
        <v>73</v>
      </c>
    </row>
    <row r="41" spans="1:36" ht="42.75" x14ac:dyDescent="0.45">
      <c r="A41" s="39" t="s">
        <v>51</v>
      </c>
      <c r="B41" s="31"/>
      <c r="C41" s="41"/>
      <c r="D41" s="31"/>
      <c r="E41" s="28"/>
      <c r="F41" s="28"/>
      <c r="G41" s="29">
        <v>2</v>
      </c>
      <c r="H41" s="28">
        <f>Table1353434[[#This Row],[Tr. 2 
Gross Acreage]]*E$36</f>
        <v>0.1190476</v>
      </c>
      <c r="I41" s="28"/>
      <c r="J41" s="28"/>
      <c r="K41" s="30"/>
      <c r="L41" s="28"/>
      <c r="M41" s="28"/>
      <c r="N41" s="28"/>
      <c r="O41" s="29"/>
      <c r="P41" s="28"/>
      <c r="Q41" s="28"/>
      <c r="R41" s="28"/>
      <c r="S41" s="29"/>
      <c r="T41" s="28"/>
      <c r="U41" s="28"/>
      <c r="V41" s="28"/>
      <c r="W41" s="30"/>
      <c r="X41" s="28"/>
      <c r="Y41" s="28"/>
      <c r="Z41" s="28"/>
      <c r="AA41" s="30"/>
      <c r="AB41" s="28"/>
      <c r="AC41" s="28">
        <f>Table1353434[[#This Row],[Tr. 1 Mineral Acres]]+Table1353434[[#This Row],[Tr. 2 Mineral Acres]]+Table1353434[[#This Row],[Tr. 3 Mineral Acres]]+Table1353434[[#This Row],[Tr. 4 Mineral Acres]]+Table1353434[[#This Row],[Tr. 5 Mineral Acres]]+Table1353434[[#This Row],[Tr. 6 Mineral Acres]]+Table1353434[[#This Row],[Tr. 7 Mineral Acres]]</f>
        <v>0.1190476</v>
      </c>
      <c r="AD41" s="28"/>
      <c r="AE41" s="67" t="s">
        <v>57</v>
      </c>
      <c r="AF41" s="68">
        <v>0.2</v>
      </c>
      <c r="AG41" s="38">
        <f>Table1353434[[#This Row],[Lease Roy.]]*Table1353434[[#This Row],[Unit Totals]]</f>
        <v>2.3809520000000001E-2</v>
      </c>
      <c r="AH41" s="38"/>
      <c r="AI41" s="38"/>
      <c r="AJ41" s="45" t="s">
        <v>69</v>
      </c>
    </row>
    <row r="42" spans="1:36" ht="42.75" x14ac:dyDescent="0.45">
      <c r="A42" s="39" t="s">
        <v>52</v>
      </c>
      <c r="B42" s="31"/>
      <c r="C42" s="41"/>
      <c r="D42" s="31"/>
      <c r="E42" s="28"/>
      <c r="F42" s="28"/>
      <c r="G42" s="29">
        <v>4.8</v>
      </c>
      <c r="H42" s="28">
        <f>Table1353434[[#This Row],[Tr. 2 
Gross Acreage]]*E$36</f>
        <v>0.28571424000000001</v>
      </c>
      <c r="I42" s="28"/>
      <c r="J42" s="28"/>
      <c r="K42" s="30"/>
      <c r="L42" s="28"/>
      <c r="M42" s="28"/>
      <c r="N42" s="28"/>
      <c r="O42" s="29"/>
      <c r="P42" s="28"/>
      <c r="Q42" s="28"/>
      <c r="R42" s="28"/>
      <c r="S42" s="29"/>
      <c r="T42" s="28"/>
      <c r="U42" s="28"/>
      <c r="V42" s="28"/>
      <c r="W42" s="30"/>
      <c r="X42" s="28"/>
      <c r="Y42" s="28"/>
      <c r="Z42" s="28"/>
      <c r="AA42" s="30"/>
      <c r="AB42" s="28"/>
      <c r="AC42" s="28">
        <f>Table1353434[[#This Row],[Tr. 1 Mineral Acres]]+Table1353434[[#This Row],[Tr. 2 Mineral Acres]]+Table1353434[[#This Row],[Tr. 3 Mineral Acres]]+Table1353434[[#This Row],[Tr. 4 Mineral Acres]]+Table1353434[[#This Row],[Tr. 5 Mineral Acres]]+Table1353434[[#This Row],[Tr. 6 Mineral Acres]]+Table1353434[[#This Row],[Tr. 7 Mineral Acres]]</f>
        <v>0.28571424000000001</v>
      </c>
      <c r="AD42" s="28"/>
      <c r="AE42" s="73" t="s">
        <v>57</v>
      </c>
      <c r="AF42" s="68"/>
      <c r="AG42" s="38">
        <f>Table1353434[[#This Row],[Lease Roy.]]*Table1353434[[#This Row],[Unit Totals]]</f>
        <v>0</v>
      </c>
      <c r="AH42" s="38"/>
      <c r="AI42" s="38"/>
      <c r="AJ42" s="45" t="s">
        <v>72</v>
      </c>
    </row>
    <row r="43" spans="1:36" ht="42.75" x14ac:dyDescent="0.45">
      <c r="A43" s="39" t="s">
        <v>53</v>
      </c>
      <c r="B43" s="31"/>
      <c r="C43" s="41"/>
      <c r="D43" s="31"/>
      <c r="E43" s="28"/>
      <c r="F43" s="28"/>
      <c r="G43" s="29">
        <v>2</v>
      </c>
      <c r="H43" s="28">
        <f>Table1353434[[#This Row],[Tr. 2 
Gross Acreage]]*E$36</f>
        <v>0.1190476</v>
      </c>
      <c r="I43" s="28"/>
      <c r="J43" s="28"/>
      <c r="K43" s="30"/>
      <c r="L43" s="28"/>
      <c r="M43" s="28"/>
      <c r="N43" s="28"/>
      <c r="O43" s="29"/>
      <c r="P43" s="28"/>
      <c r="Q43" s="28"/>
      <c r="R43" s="28"/>
      <c r="S43" s="29"/>
      <c r="T43" s="28"/>
      <c r="U43" s="28"/>
      <c r="V43" s="28"/>
      <c r="W43" s="30"/>
      <c r="X43" s="28"/>
      <c r="Y43" s="28"/>
      <c r="Z43" s="28"/>
      <c r="AA43" s="30"/>
      <c r="AB43" s="28"/>
      <c r="AC43" s="28">
        <f>Table1353434[[#This Row],[Tr. 1 Mineral Acres]]+Table1353434[[#This Row],[Tr. 2 Mineral Acres]]+Table1353434[[#This Row],[Tr. 3 Mineral Acres]]+Table1353434[[#This Row],[Tr. 4 Mineral Acres]]+Table1353434[[#This Row],[Tr. 5 Mineral Acres]]+Table1353434[[#This Row],[Tr. 6 Mineral Acres]]+Table1353434[[#This Row],[Tr. 7 Mineral Acres]]</f>
        <v>0.1190476</v>
      </c>
      <c r="AD43" s="28"/>
      <c r="AE43" s="67" t="s">
        <v>57</v>
      </c>
      <c r="AF43" s="68">
        <v>0.2</v>
      </c>
      <c r="AG43" s="38">
        <f>Table1353434[[#This Row],[Lease Roy.]]*Table1353434[[#This Row],[Unit Totals]]</f>
        <v>2.3809520000000001E-2</v>
      </c>
      <c r="AH43" s="38"/>
      <c r="AI43" s="38"/>
      <c r="AJ43" s="45" t="s">
        <v>70</v>
      </c>
    </row>
    <row r="44" spans="1:36" ht="57" x14ac:dyDescent="0.45">
      <c r="A44" s="25" t="s">
        <v>76</v>
      </c>
      <c r="B44" s="31"/>
      <c r="C44" s="41"/>
      <c r="D44" s="31"/>
      <c r="E44" s="28"/>
      <c r="F44" s="28"/>
      <c r="G44" s="29">
        <v>60.433</v>
      </c>
      <c r="H44" s="28">
        <f>Table1353434[[#This Row],[Tr. 2 
Gross Acreage]]*E$36</f>
        <v>3.5972018054000001</v>
      </c>
      <c r="I44" s="28"/>
      <c r="J44" s="28"/>
      <c r="K44" s="30"/>
      <c r="L44" s="28"/>
      <c r="M44" s="28"/>
      <c r="N44" s="28"/>
      <c r="O44" s="29"/>
      <c r="P44" s="28"/>
      <c r="Q44" s="28"/>
      <c r="R44" s="28"/>
      <c r="S44" s="29"/>
      <c r="T44" s="28"/>
      <c r="U44" s="28"/>
      <c r="V44" s="28"/>
      <c r="W44" s="30"/>
      <c r="X44" s="28"/>
      <c r="Y44" s="28"/>
      <c r="Z44" s="28"/>
      <c r="AA44" s="30"/>
      <c r="AB44" s="28"/>
      <c r="AC44" s="28">
        <f>Table1353434[[#This Row],[Tr. 1 Mineral Acres]]+Table1353434[[#This Row],[Tr. 2 Mineral Acres]]+Table1353434[[#This Row],[Tr. 3 Mineral Acres]]+Table1353434[[#This Row],[Tr. 4 Mineral Acres]]+Table1353434[[#This Row],[Tr. 5 Mineral Acres]]+Table1353434[[#This Row],[Tr. 6 Mineral Acres]]+Table1353434[[#This Row],[Tr. 7 Mineral Acres]]</f>
        <v>3.5972018054000001</v>
      </c>
      <c r="AD44" s="28"/>
      <c r="AE44" s="69" t="s">
        <v>58</v>
      </c>
      <c r="AF44" s="70"/>
      <c r="AG44" s="38">
        <f>Table1353434[[#This Row],[Lease Roy.]]*Table1353434[[#This Row],[Unit Totals]]</f>
        <v>0</v>
      </c>
      <c r="AH44" s="38"/>
      <c r="AI44" s="38"/>
      <c r="AJ44" s="45" t="s">
        <v>71</v>
      </c>
    </row>
    <row r="45" spans="1:36" x14ac:dyDescent="0.45">
      <c r="A45" s="12" t="s">
        <v>54</v>
      </c>
      <c r="B45" s="1">
        <f>SUM(B2:B44)</f>
        <v>1</v>
      </c>
      <c r="C45" s="13"/>
      <c r="D45" s="2">
        <f>SUBTOTAL(109,Table1353434[Tr. 1 Mineral Acres])</f>
        <v>55.501600000000003</v>
      </c>
      <c r="E45" s="3">
        <f>SUBTOTAL(109,Table1353434[Tr. 2
Mineral Interest])</f>
        <v>0.99999999999999956</v>
      </c>
      <c r="F45" s="3"/>
      <c r="G45" s="4"/>
      <c r="H45" s="5">
        <f>SUBTOTAL(109,Table1353434[Tr. 2 Mineral Acres])</f>
        <v>106.19255952340008</v>
      </c>
      <c r="I45" s="6">
        <f>SUBTOTAL(109,Table1353434[Tr.3 Mineral Interest])</f>
        <v>1.0000000099999995</v>
      </c>
      <c r="J45" s="6"/>
      <c r="K45" s="7"/>
      <c r="L45" s="7">
        <f>SUM(L2:L44)</f>
        <v>28.033800282230001</v>
      </c>
      <c r="M45" s="8">
        <f>SUBTOTAL(109,Table1353434[Tr. 4 Mineral Interest])</f>
        <v>1</v>
      </c>
      <c r="N45" s="8"/>
      <c r="O45" s="4"/>
      <c r="P45" s="4">
        <f>SUM(P2:P44)</f>
        <v>14.64</v>
      </c>
      <c r="Q45" s="1">
        <f>SUM(Q2:Q44)</f>
        <v>1.0000000099999995</v>
      </c>
      <c r="R45" s="1"/>
      <c r="S45" s="4"/>
      <c r="T45" s="4">
        <f>SUM(T2:T44)</f>
        <v>8.4400000844000012</v>
      </c>
      <c r="U45" s="1">
        <f>SUM(U2:U44)</f>
        <v>1.0000000099999997</v>
      </c>
      <c r="V45" s="1"/>
      <c r="W45" s="7"/>
      <c r="X45" s="7">
        <f>SUM(X2:X44)</f>
        <v>42.581000425809997</v>
      </c>
      <c r="Y45" s="1">
        <f>SUM(Y2:Y44)</f>
        <v>1</v>
      </c>
      <c r="Z45" s="1"/>
      <c r="AA45" s="7"/>
      <c r="AB45" s="7">
        <f>SUM(AB2:AB44)</f>
        <v>20.545999999999999</v>
      </c>
      <c r="AC45" s="4">
        <f>SUM(AC2:AC44)</f>
        <v>275.9349603158401</v>
      </c>
      <c r="AD45" s="4"/>
      <c r="AE45" s="9">
        <f>240.2823/276.12</f>
        <v>0.87020969143850491</v>
      </c>
      <c r="AF45" s="10"/>
      <c r="AG45" s="11">
        <f>SUM(AG2:AG44)/Table1353434[[#Totals],[Unit Totals]]</f>
        <v>0.16472239819638435</v>
      </c>
      <c r="AH45" s="11"/>
      <c r="AI45" s="11"/>
      <c r="AJ45" s="54">
        <f>1-Table1353434[[#Totals],[NRI AC.]]</f>
        <v>0.83527760180361565</v>
      </c>
    </row>
    <row r="47" spans="1:36" x14ac:dyDescent="0.45">
      <c r="AC47" s="59"/>
      <c r="AD47" s="59"/>
    </row>
  </sheetData>
  <phoneticPr fontId="12" type="noConversion"/>
  <pageMargins left="0.25" right="0.25" top="0.75" bottom="0.25" header="0.3" footer="0.3"/>
  <pageSetup paperSize="5" scale="59" fitToHeight="0" orientation="landscape" verticalDpi="1200" r:id="rId1"/>
  <headerFooter>
    <oddHeader>&amp;C&amp;"-,Bold"&amp;14Ownership and Lease Status
ARCADIA OPERATING, LLC - ELMORE #1 276.12 ACRE UNIT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90FF6-8193-451D-9623-FAD3D92257A1}">
  <sheetPr>
    <pageSetUpPr fitToPage="1"/>
  </sheetPr>
  <dimension ref="A1:AD48"/>
  <sheetViews>
    <sheetView tabSelected="1" zoomScale="90" zoomScaleNormal="90" workbookViewId="0">
      <pane ySplit="1" topLeftCell="A39" activePane="bottomLeft" state="frozen"/>
      <selection pane="bottomLeft" activeCell="N43" sqref="N43"/>
    </sheetView>
  </sheetViews>
  <sheetFormatPr defaultColWidth="9" defaultRowHeight="14.25" x14ac:dyDescent="0.45"/>
  <cols>
    <col min="1" max="1" width="37.796875" style="24" customWidth="1"/>
    <col min="2" max="2" width="9.19921875" style="24" customWidth="1"/>
    <col min="3" max="3" width="9.19921875" style="55" customWidth="1"/>
    <col min="4" max="5" width="9.19921875" style="24" customWidth="1"/>
    <col min="6" max="6" width="9.19921875" style="56" customWidth="1"/>
    <col min="7" max="8" width="9.19921875" style="24" customWidth="1"/>
    <col min="9" max="9" width="9.19921875" style="57" customWidth="1"/>
    <col min="10" max="11" width="9.19921875" style="24" customWidth="1"/>
    <col min="12" max="12" width="9.19921875" style="56" customWidth="1"/>
    <col min="13" max="14" width="9.19921875" style="24" customWidth="1"/>
    <col min="15" max="15" width="9.19921875" style="56" customWidth="1"/>
    <col min="16" max="17" width="9.19921875" style="24" customWidth="1"/>
    <col min="18" max="18" width="9.19921875" style="57" customWidth="1"/>
    <col min="19" max="20" width="9.19921875" style="24" customWidth="1"/>
    <col min="21" max="21" width="9.19921875" style="57" customWidth="1"/>
    <col min="22" max="28" width="9.19921875" style="24" customWidth="1"/>
    <col min="29" max="29" width="28.59765625" style="79" customWidth="1"/>
    <col min="30" max="30" width="10.796875" style="79" customWidth="1"/>
    <col min="31" max="16384" width="9" style="24"/>
  </cols>
  <sheetData>
    <row r="1" spans="1:30" ht="43.15" thickBot="1" x14ac:dyDescent="0.5">
      <c r="A1" s="110" t="s">
        <v>0</v>
      </c>
      <c r="B1" s="111" t="s">
        <v>1</v>
      </c>
      <c r="C1" s="112" t="s">
        <v>2</v>
      </c>
      <c r="D1" s="111" t="s">
        <v>3</v>
      </c>
      <c r="E1" s="113" t="s">
        <v>4</v>
      </c>
      <c r="F1" s="114" t="s">
        <v>5</v>
      </c>
      <c r="G1" s="113" t="s">
        <v>6</v>
      </c>
      <c r="H1" s="113" t="s">
        <v>84</v>
      </c>
      <c r="I1" s="115" t="s">
        <v>101</v>
      </c>
      <c r="J1" s="116" t="s">
        <v>8</v>
      </c>
      <c r="K1" s="113" t="s">
        <v>85</v>
      </c>
      <c r="L1" s="117" t="s">
        <v>102</v>
      </c>
      <c r="M1" s="116" t="s">
        <v>10</v>
      </c>
      <c r="N1" s="113" t="s">
        <v>86</v>
      </c>
      <c r="O1" s="117" t="s">
        <v>103</v>
      </c>
      <c r="P1" s="116" t="s">
        <v>12</v>
      </c>
      <c r="Q1" s="113" t="s">
        <v>87</v>
      </c>
      <c r="R1" s="115" t="s">
        <v>104</v>
      </c>
      <c r="S1" s="116" t="s">
        <v>14</v>
      </c>
      <c r="T1" s="113" t="s">
        <v>88</v>
      </c>
      <c r="U1" s="115" t="s">
        <v>105</v>
      </c>
      <c r="V1" s="116" t="s">
        <v>16</v>
      </c>
      <c r="W1" s="116" t="s">
        <v>55</v>
      </c>
      <c r="X1" s="116" t="s">
        <v>17</v>
      </c>
      <c r="Y1" s="116" t="s">
        <v>74</v>
      </c>
      <c r="Z1" s="116" t="s">
        <v>75</v>
      </c>
      <c r="AA1" s="118" t="s">
        <v>99</v>
      </c>
      <c r="AB1" s="118" t="s">
        <v>100</v>
      </c>
      <c r="AC1" s="120" t="s">
        <v>18</v>
      </c>
      <c r="AD1" s="119" t="s">
        <v>109</v>
      </c>
    </row>
    <row r="2" spans="1:30" ht="85.5" x14ac:dyDescent="0.45">
      <c r="A2" s="96" t="s">
        <v>19</v>
      </c>
      <c r="B2" s="104">
        <v>0.5</v>
      </c>
      <c r="C2" s="104">
        <v>55.501600000000003</v>
      </c>
      <c r="D2" s="104">
        <f>Table13534343[[#This Row],[Tr. 1 
Gross Acreage]]*Table13534343[[#This Row],[Tr. 1 Mineral Interest]]</f>
        <v>27.750800000000002</v>
      </c>
      <c r="E2" s="98">
        <v>0.20238095</v>
      </c>
      <c r="F2" s="98">
        <v>106.19</v>
      </c>
      <c r="G2" s="98">
        <f>Table13534343[[#This Row],[Tr. 2 
Gross Acreage]]*Table13534343[[#This Row],[Tr. 2
Mineral Interest]]</f>
        <v>21.4908330805</v>
      </c>
      <c r="H2" s="104">
        <v>0.20238095</v>
      </c>
      <c r="I2" s="98">
        <v>28.222999999999999</v>
      </c>
      <c r="J2" s="97">
        <f>Table13534343[[#This Row],[Tr. 3 
Gross Acreage]]*Table13534343[[#This Row],[Tr.3 Mineral Interest]]</f>
        <v>5.7117975518500002</v>
      </c>
      <c r="K2" s="105">
        <v>0.5</v>
      </c>
      <c r="L2" s="97">
        <v>14.64</v>
      </c>
      <c r="M2" s="106">
        <f>Table13534343[[#This Row],[Tr. 4 
Gross Acreage]]*Table13534343[[#This Row],[Tr. 4 Mineral Interest]]</f>
        <v>7.32</v>
      </c>
      <c r="N2" s="97">
        <v>0.20238095</v>
      </c>
      <c r="O2" s="97">
        <v>8.44</v>
      </c>
      <c r="P2" s="106">
        <f>Table13534343[[#This Row],[Tr. 5 
Gross Acreage]]*Table13534343[[#This Row],[Tr.5 Mineral Interest]]</f>
        <v>1.708095218</v>
      </c>
      <c r="Q2" s="97">
        <v>0.20238095</v>
      </c>
      <c r="R2" s="97">
        <v>42.581000000000003</v>
      </c>
      <c r="S2" s="106">
        <f>R2*Q2</f>
        <v>8.6175832319500003</v>
      </c>
      <c r="T2" s="105">
        <v>0.75</v>
      </c>
      <c r="U2" s="97">
        <v>20.545999999999999</v>
      </c>
      <c r="V2" s="106">
        <f>Table13534343[[#This Row],[Tr. 7 
Gross Acreage]]*Table13534343[[#This Row],[Tr. 7 Mineral Interest]]</f>
        <v>15.4095</v>
      </c>
      <c r="W2" s="106">
        <f>Table13534343[[#This Row],[Tr. 1 Mineral Acres]]+Table13534343[[#This Row],[Tr. 2 Mineral Acres]]+Table13534343[[#This Row],[Tr. 3 Mineral Acres]]+Table13534343[[#This Row],[Tr. 4 Mineral Acres]]+Table13534343[[#This Row],[Tr. 5 Mineral Acres]]+Table13534343[[#This Row],[Tr. 6 Mineral Acres]]+Table13534343[[#This Row],[Tr. 7 Mineral Acres]]</f>
        <v>88.008609082299998</v>
      </c>
      <c r="X2" s="107" t="s">
        <v>57</v>
      </c>
      <c r="Y2" s="99">
        <v>0.2</v>
      </c>
      <c r="Z2" s="99">
        <f>Table13534343[[#This Row],[Lease Roy.]]*Table13534343[[#This Row],[Unit Totals]]+Table13534343[[#This Row],[NRI AC  NPR 2]]</f>
        <v>15.402596816459999</v>
      </c>
      <c r="AA2" s="108"/>
      <c r="AB2" s="108">
        <f>-35.186*1/16</f>
        <v>-2.199125</v>
      </c>
      <c r="AC2" s="121"/>
      <c r="AD2" s="109">
        <v>26314.197041972395</v>
      </c>
    </row>
    <row r="3" spans="1:30" ht="57" x14ac:dyDescent="0.45">
      <c r="A3" s="25" t="s">
        <v>22</v>
      </c>
      <c r="B3" s="81"/>
      <c r="C3" s="81"/>
      <c r="D3" s="81"/>
      <c r="E3" s="84">
        <f>0.2202381/3</f>
        <v>7.3412699999999997E-2</v>
      </c>
      <c r="F3" s="82">
        <v>106.19</v>
      </c>
      <c r="G3" s="82">
        <f>Table13534343[[#This Row],[Tr. 2 
Gross Acreage]]*Table13534343[[#This Row],[Tr. 2
Mineral Interest]]</f>
        <v>7.7956946129999993</v>
      </c>
      <c r="H3" s="84">
        <f>0.2202381/3</f>
        <v>7.3412699999999997E-2</v>
      </c>
      <c r="I3" s="82">
        <v>28.222999999999999</v>
      </c>
      <c r="J3" s="83">
        <f>Table13534343[[#This Row],[Tr. 3 
Gross Acreage]]*Table13534343[[#This Row],[Tr.3 Mineral Interest]]</f>
        <v>2.0719266320999998</v>
      </c>
      <c r="K3" s="83"/>
      <c r="L3" s="82"/>
      <c r="M3" s="85"/>
      <c r="N3" s="84">
        <f>0.2202381/3</f>
        <v>7.3412699999999997E-2</v>
      </c>
      <c r="O3" s="83">
        <v>8.44</v>
      </c>
      <c r="P3" s="85">
        <f>Table13534343[[#This Row],[Tr. 5 
Gross Acreage]]*Table13534343[[#This Row],[Tr.5 Mineral Interest]]</f>
        <v>0.61960318799999992</v>
      </c>
      <c r="Q3" s="84">
        <f>0.2202381/3</f>
        <v>7.3412699999999997E-2</v>
      </c>
      <c r="R3" s="85">
        <v>42.581000000000003</v>
      </c>
      <c r="S3" s="85">
        <f>R3*Q3</f>
        <v>3.1259861787000003</v>
      </c>
      <c r="T3" s="83"/>
      <c r="U3" s="83"/>
      <c r="V3" s="85"/>
      <c r="W3" s="85">
        <f>Table13534343[[#This Row],[Tr. 2 Mineral Acres]]+Table13534343[[#This Row],[Tr. 3 Mineral Acres]]+Table13534343[[#This Row],[Tr. 5 Mineral Acres]]+Table13534343[[#This Row],[Tr. 6 Mineral Acres]]</f>
        <v>13.613210611799998</v>
      </c>
      <c r="X3" s="86" t="s">
        <v>57</v>
      </c>
      <c r="Y3" s="87">
        <v>0.2</v>
      </c>
      <c r="Z3" s="87">
        <f>Table13534343[[#This Row],[Lease Roy.]]*Table13534343[[#This Row],[Unit Totals]]+Table13534343[[#This Row],[NRI AC  NPR 1]]</f>
        <v>1.7568400390266667</v>
      </c>
      <c r="AA3" s="95">
        <f>-185.434/3*0.015625</f>
        <v>-0.96580208333333328</v>
      </c>
      <c r="AB3" s="95"/>
      <c r="AC3" s="122"/>
      <c r="AD3" s="76">
        <v>2167.5534961933336</v>
      </c>
    </row>
    <row r="4" spans="1:30" ht="71.25" x14ac:dyDescent="0.45">
      <c r="A4" s="39" t="s">
        <v>23</v>
      </c>
      <c r="B4" s="83"/>
      <c r="C4" s="83"/>
      <c r="D4" s="83"/>
      <c r="E4" s="84">
        <f>0.2202381/3</f>
        <v>7.3412699999999997E-2</v>
      </c>
      <c r="F4" s="30">
        <v>106.19</v>
      </c>
      <c r="G4" s="82">
        <f>Table13534343[[#This Row],[Tr. 2 
Gross Acreage]]*Table13534343[[#This Row],[Tr. 2
Mineral Interest]]</f>
        <v>7.7956946129999993</v>
      </c>
      <c r="H4" s="84">
        <f>0.2202381/3</f>
        <v>7.3412699999999997E-2</v>
      </c>
      <c r="I4" s="82">
        <v>28.222999999999999</v>
      </c>
      <c r="J4" s="83">
        <f>Table13534343[[#This Row],[Tr. 3 
Gross Acreage]]*Table13534343[[#This Row],[Tr.3 Mineral Interest]]</f>
        <v>2.0719266320999998</v>
      </c>
      <c r="K4" s="82"/>
      <c r="L4" s="82"/>
      <c r="M4" s="82"/>
      <c r="N4" s="84">
        <f>0.2202381/3</f>
        <v>7.3412699999999997E-2</v>
      </c>
      <c r="O4" s="83">
        <v>8.44</v>
      </c>
      <c r="P4" s="82">
        <f>Table13534343[[#This Row],[Tr. 5 
Gross Acreage]]*Table13534343[[#This Row],[Tr.5 Mineral Interest]]</f>
        <v>0.61960318799999992</v>
      </c>
      <c r="Q4" s="84">
        <f>0.2202381/3</f>
        <v>7.3412699999999997E-2</v>
      </c>
      <c r="R4" s="82">
        <v>42.581000000000003</v>
      </c>
      <c r="S4" s="85">
        <f>R4*Q4</f>
        <v>3.1259861787000003</v>
      </c>
      <c r="T4" s="83"/>
      <c r="U4" s="83"/>
      <c r="V4" s="82"/>
      <c r="W4" s="85">
        <f>Table13534343[[#This Row],[Tr. 2 Mineral Acres]]+Table13534343[[#This Row],[Tr. 3 Mineral Acres]]+Table13534343[[#This Row],[Tr. 5 Mineral Acres]]+Table13534343[[#This Row],[Tr. 6 Mineral Acres]]</f>
        <v>13.613210611799998</v>
      </c>
      <c r="X4" s="86" t="s">
        <v>57</v>
      </c>
      <c r="Y4" s="87">
        <v>0.2</v>
      </c>
      <c r="Z4" s="87">
        <f>Table13534343[[#This Row],[Lease Roy.]]*Table13534343[[#This Row],[Unit Totals]]+Table13534343[[#This Row],[NRI AC  NPR 1]]</f>
        <v>1.7568400390266667</v>
      </c>
      <c r="AA4" s="95">
        <f>-185.434/3*0.015625</f>
        <v>-0.96580208333333328</v>
      </c>
      <c r="AB4" s="95"/>
      <c r="AC4" s="122"/>
      <c r="AD4" s="76">
        <v>2167.5534961933336</v>
      </c>
    </row>
    <row r="5" spans="1:30" ht="57" x14ac:dyDescent="0.45">
      <c r="A5" s="39" t="s">
        <v>24</v>
      </c>
      <c r="B5" s="83"/>
      <c r="C5" s="83"/>
      <c r="D5" s="83"/>
      <c r="E5" s="84">
        <f>0.2202381/3</f>
        <v>7.3412699999999997E-2</v>
      </c>
      <c r="F5" s="30">
        <v>106.19</v>
      </c>
      <c r="G5" s="82">
        <f>Table13534343[[#This Row],[Tr. 2 
Gross Acreage]]*Table13534343[[#This Row],[Tr. 2
Mineral Interest]]</f>
        <v>7.7956946129999993</v>
      </c>
      <c r="H5" s="84">
        <f>0.2202381/3</f>
        <v>7.3412699999999997E-2</v>
      </c>
      <c r="I5" s="82">
        <v>28.222999999999999</v>
      </c>
      <c r="J5" s="83">
        <f>Table13534343[[#This Row],[Tr. 3 
Gross Acreage]]*Table13534343[[#This Row],[Tr.3 Mineral Interest]]</f>
        <v>2.0719266320999998</v>
      </c>
      <c r="K5" s="82"/>
      <c r="L5" s="82"/>
      <c r="M5" s="82"/>
      <c r="N5" s="84">
        <f>0.2202381/3</f>
        <v>7.3412699999999997E-2</v>
      </c>
      <c r="O5" s="83">
        <v>8.44</v>
      </c>
      <c r="P5" s="82">
        <f>Table13534343[[#This Row],[Tr. 5 
Gross Acreage]]*Table13534343[[#This Row],[Tr.5 Mineral Interest]]</f>
        <v>0.61960318799999992</v>
      </c>
      <c r="Q5" s="84">
        <f>0.2202381/3</f>
        <v>7.3412699999999997E-2</v>
      </c>
      <c r="R5" s="82">
        <v>42.581000000000003</v>
      </c>
      <c r="S5" s="85">
        <f>R5*Q5</f>
        <v>3.1259861787000003</v>
      </c>
      <c r="T5" s="83"/>
      <c r="U5" s="83"/>
      <c r="V5" s="82"/>
      <c r="W5" s="85">
        <f>Table13534343[[#This Row],[Tr. 2 Mineral Acres]]+Table13534343[[#This Row],[Tr. 3 Mineral Acres]]+Table13534343[[#This Row],[Tr. 5 Mineral Acres]]+Table13534343[[#This Row],[Tr. 6 Mineral Acres]]</f>
        <v>13.613210611799998</v>
      </c>
      <c r="X5" s="86" t="s">
        <v>57</v>
      </c>
      <c r="Y5" s="87">
        <v>0.2</v>
      </c>
      <c r="Z5" s="87">
        <f>Table13534343[[#This Row],[Lease Roy.]]*Table13534343[[#This Row],[Unit Totals]]+Table13534343[[#This Row],[NRI AC  NPR 1]]</f>
        <v>1.7568400390266667</v>
      </c>
      <c r="AA5" s="95">
        <f>-185.434/3*0.015625</f>
        <v>-0.96580208333333328</v>
      </c>
      <c r="AB5" s="95"/>
      <c r="AC5" s="122"/>
      <c r="AD5" s="76">
        <v>2167.5534961933336</v>
      </c>
    </row>
    <row r="6" spans="1:30" ht="85.5" x14ac:dyDescent="0.45">
      <c r="A6" s="39" t="s">
        <v>174</v>
      </c>
      <c r="B6" s="83">
        <v>0.25</v>
      </c>
      <c r="C6" s="81">
        <v>55.501600000000003</v>
      </c>
      <c r="D6" s="81">
        <f>Table13534343[[#This Row],[Tr. 1 
Gross Acreage]]*Table13534343[[#This Row],[Tr. 1 Mineral Interest]]</f>
        <v>13.875400000000001</v>
      </c>
      <c r="E6" s="82"/>
      <c r="F6" s="30"/>
      <c r="G6" s="82"/>
      <c r="H6" s="82"/>
      <c r="I6" s="82"/>
      <c r="J6" s="83"/>
      <c r="K6" s="83"/>
      <c r="L6" s="83"/>
      <c r="M6" s="85"/>
      <c r="N6" s="83"/>
      <c r="O6" s="83"/>
      <c r="P6" s="85"/>
      <c r="Q6" s="83"/>
      <c r="R6" s="83"/>
      <c r="S6" s="85"/>
      <c r="T6" s="83"/>
      <c r="U6" s="83"/>
      <c r="V6" s="85"/>
      <c r="W6" s="85">
        <f>Table13534343[[#This Row],[Tr. 1 Mineral Acres]]+Table13534343[[#This Row],[Tr. 2 Mineral Acres]]+Table13534343[[#This Row],[Tr. 3 Mineral Acres]]+Table13534343[[#This Row],[Tr. 4 Mineral Acres]]+Table13534343[[#This Row],[Tr. 5 Mineral Acres]]+Table13534343[[#This Row],[Tr. 6 Mineral Acres]]+Table13534343[[#This Row],[Tr. 7 Mineral Acres]]</f>
        <v>13.875400000000001</v>
      </c>
      <c r="X6" s="86" t="s">
        <v>57</v>
      </c>
      <c r="Y6" s="87">
        <v>0.25</v>
      </c>
      <c r="Z6" s="87">
        <f>Table13534343[[#This Row],[Lease Roy.]]*Table13534343[[#This Row],[Unit Totals]]</f>
        <v>3.4688500000000002</v>
      </c>
      <c r="AA6" s="95"/>
      <c r="AB6" s="95"/>
      <c r="AC6" s="122"/>
      <c r="AD6" s="76">
        <v>0</v>
      </c>
    </row>
    <row r="7" spans="1:30" ht="71.25" x14ac:dyDescent="0.45">
      <c r="A7" s="39" t="s">
        <v>173</v>
      </c>
      <c r="B7" s="83">
        <v>0.25</v>
      </c>
      <c r="C7" s="81">
        <v>55.501600000000003</v>
      </c>
      <c r="D7" s="81">
        <f>Table13534343[[#This Row],[Tr. 1 
Gross Acreage]]*Table13534343[[#This Row],[Tr. 1 Mineral Interest]]</f>
        <v>13.875400000000001</v>
      </c>
      <c r="E7" s="82"/>
      <c r="F7" s="30"/>
      <c r="G7" s="82"/>
      <c r="H7" s="82"/>
      <c r="I7" s="82"/>
      <c r="J7" s="83"/>
      <c r="K7" s="83"/>
      <c r="L7" s="83"/>
      <c r="M7" s="85"/>
      <c r="N7" s="83"/>
      <c r="O7" s="83"/>
      <c r="P7" s="85"/>
      <c r="Q7" s="83"/>
      <c r="R7" s="83"/>
      <c r="S7" s="85"/>
      <c r="T7" s="83"/>
      <c r="U7" s="83"/>
      <c r="V7" s="85"/>
      <c r="W7" s="85">
        <f>Table13534343[[#This Row],[Tr. 1 Mineral Acres]]+Table13534343[[#This Row],[Tr. 2 Mineral Acres]]+Table13534343[[#This Row],[Tr. 3 Mineral Acres]]+Table13534343[[#This Row],[Tr. 4 Mineral Acres]]+Table13534343[[#This Row],[Tr. 5 Mineral Acres]]+Table13534343[[#This Row],[Tr. 6 Mineral Acres]]+Table13534343[[#This Row],[Tr. 7 Mineral Acres]]</f>
        <v>13.875400000000001</v>
      </c>
      <c r="X7" s="86" t="s">
        <v>57</v>
      </c>
      <c r="Y7" s="87">
        <v>0.25</v>
      </c>
      <c r="Z7" s="87">
        <f>Table13534343[[#This Row],[Lease Roy.]]*Table13534343[[#This Row],[Unit Totals]]</f>
        <v>3.4688500000000002</v>
      </c>
      <c r="AA7" s="95"/>
      <c r="AB7" s="95"/>
      <c r="AC7" s="122"/>
      <c r="AD7" s="76">
        <v>0</v>
      </c>
    </row>
    <row r="8" spans="1:30" ht="57" x14ac:dyDescent="0.45">
      <c r="A8" s="25" t="s">
        <v>25</v>
      </c>
      <c r="B8" s="81"/>
      <c r="C8" s="81"/>
      <c r="D8" s="81"/>
      <c r="E8" s="82">
        <v>0.20238095</v>
      </c>
      <c r="F8" s="30">
        <v>106.19</v>
      </c>
      <c r="G8" s="82">
        <f>Table13534343[[#This Row],[Tr. 2 
Gross Acreage]]*Table13534343[[#This Row],[Tr. 2
Mineral Interest]]</f>
        <v>21.4908330805</v>
      </c>
      <c r="H8" s="81">
        <v>7.7380950000000004E-2</v>
      </c>
      <c r="I8" s="82">
        <v>28.222999999999999</v>
      </c>
      <c r="J8" s="83">
        <f>Table13534343[[#This Row],[Tr. 3 
Gross Acreage]]*Table13534343[[#This Row],[Tr.3 Mineral Interest]]</f>
        <v>2.1839225518499998</v>
      </c>
      <c r="K8" s="83"/>
      <c r="L8" s="83"/>
      <c r="M8" s="85"/>
      <c r="N8" s="83"/>
      <c r="O8" s="83"/>
      <c r="P8" s="85"/>
      <c r="Q8" s="83">
        <v>0.20238095</v>
      </c>
      <c r="R8" s="85">
        <v>42.581000000000003</v>
      </c>
      <c r="S8" s="85">
        <f t="shared" ref="S8:S25" si="0">R8*Q8</f>
        <v>8.6175832319500003</v>
      </c>
      <c r="T8" s="83"/>
      <c r="U8" s="83"/>
      <c r="V8" s="85"/>
      <c r="W8" s="85">
        <f>Table13534343[[#This Row],[Tr. 1 Mineral Acres]]+Table13534343[[#This Row],[Tr. 2 Mineral Acres]]+Table13534343[[#This Row],[Tr. 3 Mineral Acres]]+Table13534343[[#This Row],[Tr. 4 Mineral Acres]]+Table13534343[[#This Row],[Tr. 5 Mineral Acres]]+Table13534343[[#This Row],[Tr. 6 Mineral Acres]]+Table13534343[[#This Row],[Tr. 7 Mineral Acres]]</f>
        <v>32.2923388643</v>
      </c>
      <c r="X8" s="86" t="s">
        <v>57</v>
      </c>
      <c r="Y8" s="87">
        <v>0.2</v>
      </c>
      <c r="Z8" s="87">
        <f>Table13534343[[#This Row],[Lease Roy.]]*Table13534343[[#This Row],[Unit Totals]]</f>
        <v>6.4584677728600006</v>
      </c>
      <c r="AA8" s="95"/>
      <c r="AB8" s="95"/>
      <c r="AC8" s="122"/>
      <c r="AD8" s="76">
        <v>6318.0761419499995</v>
      </c>
    </row>
    <row r="9" spans="1:30" ht="57" x14ac:dyDescent="0.45">
      <c r="A9" s="25" t="s">
        <v>26</v>
      </c>
      <c r="B9" s="81"/>
      <c r="C9" s="81"/>
      <c r="D9" s="81"/>
      <c r="E9" s="82">
        <v>3.3730160000000002E-2</v>
      </c>
      <c r="F9" s="30">
        <v>106.19</v>
      </c>
      <c r="G9" s="82">
        <f>Table13534343[[#This Row],[Tr. 2 
Gross Acreage]]*Table13534343[[#This Row],[Tr. 2
Mineral Interest]]</f>
        <v>3.5818056904</v>
      </c>
      <c r="H9" s="82">
        <v>3.3730160000000002E-2</v>
      </c>
      <c r="I9" s="82">
        <v>28.222999999999999</v>
      </c>
      <c r="J9" s="83">
        <f>Table13534343[[#This Row],[Tr. 3 
Gross Acreage]]*Table13534343[[#This Row],[Tr.3 Mineral Interest]]</f>
        <v>0.95196630568000007</v>
      </c>
      <c r="K9" s="83"/>
      <c r="L9" s="83">
        <v>14.64</v>
      </c>
      <c r="M9" s="85"/>
      <c r="N9" s="82">
        <v>3.3730160000000002E-2</v>
      </c>
      <c r="O9" s="83">
        <v>8.44</v>
      </c>
      <c r="P9" s="85">
        <f>Table13534343[[#This Row],[Tr. 5 
Gross Acreage]]*Table13534343[[#This Row],[Tr.5 Mineral Interest]]</f>
        <v>0.28468255040000001</v>
      </c>
      <c r="Q9" s="82">
        <v>3.3730160000000002E-2</v>
      </c>
      <c r="R9" s="85">
        <v>42.581000000000003</v>
      </c>
      <c r="S9" s="85">
        <f t="shared" si="0"/>
        <v>1.4362639429600002</v>
      </c>
      <c r="T9" s="83"/>
      <c r="U9" s="83">
        <v>20.545999999999999</v>
      </c>
      <c r="V9" s="85"/>
      <c r="W9" s="85">
        <f>Table13534343[[#This Row],[Tr. 1 Mineral Acres]]+Table13534343[[#This Row],[Tr. 2 Mineral Acres]]+Table13534343[[#This Row],[Tr. 3 Mineral Acres]]+Table13534343[[#This Row],[Tr. 4 Mineral Acres]]+Table13534343[[#This Row],[Tr. 5 Mineral Acres]]+Table13534343[[#This Row],[Tr. 6 Mineral Acres]]+Table13534343[[#This Row],[Tr. 7 Mineral Acres]]</f>
        <v>6.254718489440001</v>
      </c>
      <c r="X9" s="86" t="s">
        <v>57</v>
      </c>
      <c r="Y9" s="87">
        <v>0.2</v>
      </c>
      <c r="Z9" s="87">
        <f>Table13534343[[#This Row],[Lease Roy.]]*Table13534343[[#This Row],[Unit Totals]]+Table13534343[[#This Row],[NRI AC  NPR 2]]</f>
        <v>1.6174645312213336</v>
      </c>
      <c r="AA9" s="95"/>
      <c r="AB9" s="86">
        <f>35.186*1/6*1/16</f>
        <v>0.36652083333333335</v>
      </c>
      <c r="AC9" s="122"/>
      <c r="AD9" s="76">
        <v>1260.6878837199999</v>
      </c>
    </row>
    <row r="10" spans="1:30" ht="57" x14ac:dyDescent="0.45">
      <c r="A10" s="39" t="s">
        <v>27</v>
      </c>
      <c r="B10" s="83"/>
      <c r="C10" s="83"/>
      <c r="D10" s="83"/>
      <c r="E10" s="88">
        <v>3.3730160000000002E-2</v>
      </c>
      <c r="F10" s="30">
        <v>106.19</v>
      </c>
      <c r="G10" s="82">
        <f>Table13534343[[#This Row],[Tr. 2 
Gross Acreage]]*Table13534343[[#This Row],[Tr. 2
Mineral Interest]]</f>
        <v>3.5818056904</v>
      </c>
      <c r="H10" s="88">
        <v>3.3730160000000002E-2</v>
      </c>
      <c r="I10" s="82">
        <v>28.222999999999999</v>
      </c>
      <c r="J10" s="83">
        <f>Table13534343[[#This Row],[Tr. 3 
Gross Acreage]]*Table13534343[[#This Row],[Tr.3 Mineral Interest]]</f>
        <v>0.95196630568000007</v>
      </c>
      <c r="K10" s="83"/>
      <c r="L10" s="83">
        <v>14.64</v>
      </c>
      <c r="M10" s="85"/>
      <c r="N10" s="88">
        <v>3.3730160000000002E-2</v>
      </c>
      <c r="O10" s="83">
        <v>8.44</v>
      </c>
      <c r="P10" s="85">
        <f>Table13534343[[#This Row],[Tr. 5 
Gross Acreage]]*Table13534343[[#This Row],[Tr.5 Mineral Interest]]</f>
        <v>0.28468255040000001</v>
      </c>
      <c r="Q10" s="88">
        <v>3.3730160000000002E-2</v>
      </c>
      <c r="R10" s="85">
        <v>42.581000000000003</v>
      </c>
      <c r="S10" s="85">
        <f t="shared" si="0"/>
        <v>1.4362639429600002</v>
      </c>
      <c r="T10" s="83"/>
      <c r="U10" s="83">
        <v>20.545999999999999</v>
      </c>
      <c r="V10" s="85"/>
      <c r="W10" s="85">
        <f>Table13534343[[#This Row],[Tr. 1 Mineral Acres]]+Table13534343[[#This Row],[Tr. 2 Mineral Acres]]+Table13534343[[#This Row],[Tr. 3 Mineral Acres]]+Table13534343[[#This Row],[Tr. 4 Mineral Acres]]+Table13534343[[#This Row],[Tr. 5 Mineral Acres]]+Table13534343[[#This Row],[Tr. 6 Mineral Acres]]+Table13534343[[#This Row],[Tr. 7 Mineral Acres]]</f>
        <v>6.254718489440001</v>
      </c>
      <c r="X10" s="86" t="s">
        <v>57</v>
      </c>
      <c r="Y10" s="87">
        <v>0.2</v>
      </c>
      <c r="Z10" s="87">
        <f>Table13534343[[#This Row],[Lease Roy.]]*Table13534343[[#This Row],[Unit Totals]]+Table13534343[[#This Row],[NRI AC  NPR 2]]</f>
        <v>1.6174645312213336</v>
      </c>
      <c r="AA10" s="95"/>
      <c r="AB10" s="86">
        <f>35.186*1/6*1/16</f>
        <v>0.36652083333333335</v>
      </c>
      <c r="AC10" s="122"/>
      <c r="AD10" s="76">
        <v>1260.6878837199999</v>
      </c>
    </row>
    <row r="11" spans="1:30" ht="42.75" x14ac:dyDescent="0.45">
      <c r="A11" s="25" t="s">
        <v>28</v>
      </c>
      <c r="B11" s="81"/>
      <c r="C11" s="81"/>
      <c r="D11" s="81"/>
      <c r="E11" s="82">
        <v>3.3730160000000002E-2</v>
      </c>
      <c r="F11" s="30">
        <v>106.19</v>
      </c>
      <c r="G11" s="82">
        <f>Table13534343[[#This Row],[Tr. 2 
Gross Acreage]]*Table13534343[[#This Row],[Tr. 2
Mineral Interest]]</f>
        <v>3.5818056904</v>
      </c>
      <c r="H11" s="82">
        <v>3.3730160000000002E-2</v>
      </c>
      <c r="I11" s="82">
        <v>28.222999999999999</v>
      </c>
      <c r="J11" s="83">
        <f>Table13534343[[#This Row],[Tr. 3 
Gross Acreage]]*Table13534343[[#This Row],[Tr.3 Mineral Interest]]</f>
        <v>0.95196630568000007</v>
      </c>
      <c r="K11" s="83"/>
      <c r="L11" s="83">
        <v>14.64</v>
      </c>
      <c r="M11" s="85"/>
      <c r="N11" s="82">
        <v>3.3730160000000002E-2</v>
      </c>
      <c r="O11" s="83">
        <v>8.44</v>
      </c>
      <c r="P11" s="85">
        <f>Table13534343[[#This Row],[Tr. 5 
Gross Acreage]]*Table13534343[[#This Row],[Tr.5 Mineral Interest]]</f>
        <v>0.28468255040000001</v>
      </c>
      <c r="Q11" s="82">
        <v>3.3730160000000002E-2</v>
      </c>
      <c r="R11" s="85">
        <v>42.581000000000003</v>
      </c>
      <c r="S11" s="85">
        <f t="shared" si="0"/>
        <v>1.4362639429600002</v>
      </c>
      <c r="T11" s="83"/>
      <c r="U11" s="83">
        <v>20.545999999999999</v>
      </c>
      <c r="V11" s="85"/>
      <c r="W11" s="85">
        <f>Table13534343[[#This Row],[Tr. 1 Mineral Acres]]+Table13534343[[#This Row],[Tr. 2 Mineral Acres]]+Table13534343[[#This Row],[Tr. 3 Mineral Acres]]+Table13534343[[#This Row],[Tr. 4 Mineral Acres]]+Table13534343[[#This Row],[Tr. 5 Mineral Acres]]+Table13534343[[#This Row],[Tr. 6 Mineral Acres]]+Table13534343[[#This Row],[Tr. 7 Mineral Acres]]</f>
        <v>6.254718489440001</v>
      </c>
      <c r="X11" s="86" t="s">
        <v>57</v>
      </c>
      <c r="Y11" s="87">
        <v>0.2</v>
      </c>
      <c r="Z11" s="87">
        <f>Table13534343[[#This Row],[Lease Roy.]]*Table13534343[[#This Row],[Unit Totals]]+Table13534343[[#This Row],[NRI AC  NPR 2]]</f>
        <v>1.6174645312213336</v>
      </c>
      <c r="AA11" s="95"/>
      <c r="AB11" s="86">
        <f t="shared" ref="AB11:AB12" si="1">35.186*1/6*1/16</f>
        <v>0.36652083333333335</v>
      </c>
      <c r="AC11" s="122" t="s">
        <v>178</v>
      </c>
      <c r="AD11" s="188">
        <f>Table13534343[[#This Row],[Unit Totals]]*125</f>
        <v>781.83981118000008</v>
      </c>
    </row>
    <row r="12" spans="1:30" ht="57" x14ac:dyDescent="0.45">
      <c r="A12" s="25" t="s">
        <v>29</v>
      </c>
      <c r="B12" s="81"/>
      <c r="C12" s="81"/>
      <c r="D12" s="81"/>
      <c r="E12" s="88">
        <v>3.3730160000000002E-2</v>
      </c>
      <c r="F12" s="30">
        <v>106.19</v>
      </c>
      <c r="G12" s="82">
        <f>Table13534343[[#This Row],[Tr. 2 
Gross Acreage]]*Table13534343[[#This Row],[Tr. 2
Mineral Interest]]</f>
        <v>3.5818056904</v>
      </c>
      <c r="H12" s="88">
        <v>3.3730160000000002E-2</v>
      </c>
      <c r="I12" s="82">
        <v>28.222999999999999</v>
      </c>
      <c r="J12" s="83">
        <f>Table13534343[[#This Row],[Tr. 3 
Gross Acreage]]*Table13534343[[#This Row],[Tr.3 Mineral Interest]]</f>
        <v>0.95196630568000007</v>
      </c>
      <c r="K12" s="83"/>
      <c r="L12" s="83">
        <v>14.64</v>
      </c>
      <c r="M12" s="85"/>
      <c r="N12" s="88">
        <v>3.3730160000000002E-2</v>
      </c>
      <c r="O12" s="83">
        <v>8.44</v>
      </c>
      <c r="P12" s="85">
        <f>Table13534343[[#This Row],[Tr. 5 
Gross Acreage]]*Table13534343[[#This Row],[Tr.5 Mineral Interest]]</f>
        <v>0.28468255040000001</v>
      </c>
      <c r="Q12" s="88">
        <v>3.3730160000000002E-2</v>
      </c>
      <c r="R12" s="85">
        <v>42.581000000000003</v>
      </c>
      <c r="S12" s="85">
        <f t="shared" si="0"/>
        <v>1.4362639429600002</v>
      </c>
      <c r="T12" s="83"/>
      <c r="U12" s="83">
        <v>20.545999999999999</v>
      </c>
      <c r="V12" s="85"/>
      <c r="W12" s="85">
        <f>Table13534343[[#This Row],[Tr. 1 Mineral Acres]]+Table13534343[[#This Row],[Tr. 2 Mineral Acres]]+Table13534343[[#This Row],[Tr. 3 Mineral Acres]]+Table13534343[[#This Row],[Tr. 4 Mineral Acres]]+Table13534343[[#This Row],[Tr. 5 Mineral Acres]]+Table13534343[[#This Row],[Tr. 6 Mineral Acres]]+Table13534343[[#This Row],[Tr. 7 Mineral Acres]]</f>
        <v>6.254718489440001</v>
      </c>
      <c r="X12" s="86" t="s">
        <v>57</v>
      </c>
      <c r="Y12" s="87">
        <v>0.16666666666666666</v>
      </c>
      <c r="Z12" s="87">
        <f>Table13534343[[#This Row],[Lease Roy.]]*Table13534343[[#This Row],[Unit Totals]]+Table13534343[[#This Row],[NRI AC  NPR 2]]</f>
        <v>1.4089739149066669</v>
      </c>
      <c r="AA12" s="95"/>
      <c r="AB12" s="86">
        <f t="shared" si="1"/>
        <v>0.36652083333333335</v>
      </c>
      <c r="AC12" s="122"/>
      <c r="AD12" s="76">
        <v>787.92992732499999</v>
      </c>
    </row>
    <row r="13" spans="1:30" ht="71.25" x14ac:dyDescent="0.45">
      <c r="A13" s="25" t="s">
        <v>180</v>
      </c>
      <c r="B13" s="81"/>
      <c r="C13" s="81"/>
      <c r="D13" s="81"/>
      <c r="E13" s="82">
        <v>1.1243385E-2</v>
      </c>
      <c r="F13" s="30">
        <v>106.19</v>
      </c>
      <c r="G13" s="82">
        <f>Table13534343[[#This Row],[Tr. 2 
Gross Acreage]]*Table13534343[[#This Row],[Tr. 2
Mineral Interest]]</f>
        <v>1.1939350531499999</v>
      </c>
      <c r="H13" s="82">
        <v>1.1243385E-2</v>
      </c>
      <c r="I13" s="82">
        <v>28.222999999999999</v>
      </c>
      <c r="J13" s="83">
        <f>Table13534343[[#This Row],[Tr. 3 
Gross Acreage]]*Table13534343[[#This Row],[Tr.3 Mineral Interest]]</f>
        <v>0.31732205485499998</v>
      </c>
      <c r="K13" s="83"/>
      <c r="L13" s="83">
        <v>14.64</v>
      </c>
      <c r="M13" s="85"/>
      <c r="N13" s="82">
        <v>1.1243385E-2</v>
      </c>
      <c r="O13" s="83">
        <v>8.44</v>
      </c>
      <c r="P13" s="85">
        <f>Table13534343[[#This Row],[Tr. 5 
Gross Acreage]]*Table13534343[[#This Row],[Tr.5 Mineral Interest]]</f>
        <v>9.4894169399999992E-2</v>
      </c>
      <c r="Q13" s="82">
        <v>1.1243385E-2</v>
      </c>
      <c r="R13" s="85">
        <v>42.581000000000003</v>
      </c>
      <c r="S13" s="85">
        <f t="shared" si="0"/>
        <v>0.47875457668500004</v>
      </c>
      <c r="T13" s="83"/>
      <c r="U13" s="83">
        <v>20.545999999999999</v>
      </c>
      <c r="V13" s="85"/>
      <c r="W13" s="85">
        <f>Table13534343[[#This Row],[Tr. 1 Mineral Acres]]+Table13534343[[#This Row],[Tr. 2 Mineral Acres]]+Table13534343[[#This Row],[Tr. 3 Mineral Acres]]+Table13534343[[#This Row],[Tr. 4 Mineral Acres]]+Table13534343[[#This Row],[Tr. 5 Mineral Acres]]+Table13534343[[#This Row],[Tr. 6 Mineral Acres]]+Table13534343[[#This Row],[Tr. 7 Mineral Acres]]</f>
        <v>2.0849058540900001</v>
      </c>
      <c r="X13" s="86" t="s">
        <v>57</v>
      </c>
      <c r="Y13" s="87">
        <v>0.2</v>
      </c>
      <c r="Z13" s="87">
        <f>Table13534343[[#This Row],[Lease Roy.]]*Table13534343[[#This Row],[Unit Totals]]+Table13534343[[#This Row],[NRI AC  NPR 2]]</f>
        <v>0.53915478192911115</v>
      </c>
      <c r="AA13" s="95"/>
      <c r="AB13" s="86">
        <f t="shared" ref="AB13:AB15" si="2">35.186*1/2*1/9*1/16</f>
        <v>0.12217361111111111</v>
      </c>
      <c r="AC13" s="122"/>
      <c r="AD13" s="76">
        <v>262.64292278749997</v>
      </c>
    </row>
    <row r="14" spans="1:30" ht="42.75" x14ac:dyDescent="0.45">
      <c r="A14" s="74" t="s">
        <v>31</v>
      </c>
      <c r="B14" s="83"/>
      <c r="C14" s="83"/>
      <c r="D14" s="83"/>
      <c r="E14" s="82">
        <v>1.1243385E-2</v>
      </c>
      <c r="F14" s="30">
        <v>106.19</v>
      </c>
      <c r="G14" s="82">
        <f>Table13534343[[#This Row],[Tr. 2 
Gross Acreage]]*Table13534343[[#This Row],[Tr. 2
Mineral Interest]]</f>
        <v>1.1939350531499999</v>
      </c>
      <c r="H14" s="82">
        <v>1.1243385E-2</v>
      </c>
      <c r="I14" s="82">
        <v>28.222999999999999</v>
      </c>
      <c r="J14" s="83">
        <f>Table13534343[[#This Row],[Tr. 3 
Gross Acreage]]*Table13534343[[#This Row],[Tr.3 Mineral Interest]]</f>
        <v>0.31732205485499998</v>
      </c>
      <c r="K14" s="83"/>
      <c r="L14" s="83">
        <v>14.64</v>
      </c>
      <c r="M14" s="85"/>
      <c r="N14" s="82">
        <v>1.1243385E-2</v>
      </c>
      <c r="O14" s="83">
        <v>8.44</v>
      </c>
      <c r="P14" s="85">
        <f>Table13534343[[#This Row],[Tr. 5 
Gross Acreage]]*Table13534343[[#This Row],[Tr.5 Mineral Interest]]</f>
        <v>9.4894169399999992E-2</v>
      </c>
      <c r="Q14" s="82">
        <v>1.1243385E-2</v>
      </c>
      <c r="R14" s="85">
        <v>42.581000000000003</v>
      </c>
      <c r="S14" s="85">
        <f t="shared" si="0"/>
        <v>0.47875457668500004</v>
      </c>
      <c r="T14" s="83"/>
      <c r="U14" s="83">
        <v>20.545999999999999</v>
      </c>
      <c r="V14" s="85"/>
      <c r="W14" s="85">
        <f>Table13534343[[#This Row],[Tr. 1 Mineral Acres]]+Table13534343[[#This Row],[Tr. 2 Mineral Acres]]+Table13534343[[#This Row],[Tr. 3 Mineral Acres]]+Table13534343[[#This Row],[Tr. 4 Mineral Acres]]+Table13534343[[#This Row],[Tr. 5 Mineral Acres]]+Table13534343[[#This Row],[Tr. 6 Mineral Acres]]+Table13534343[[#This Row],[Tr. 7 Mineral Acres]]</f>
        <v>2.0849058540900001</v>
      </c>
      <c r="X14" s="85" t="s">
        <v>58</v>
      </c>
      <c r="Y14" s="87"/>
      <c r="Z14" s="87">
        <f>Table13534343[[#This Row],[Lease Roy.]]*Table13534343[[#This Row],[Unit Totals]]</f>
        <v>0</v>
      </c>
      <c r="AA14" s="95"/>
      <c r="AB14" s="86">
        <f t="shared" si="2"/>
        <v>0.12217361111111111</v>
      </c>
      <c r="AC14" s="122" t="s">
        <v>108</v>
      </c>
      <c r="AD14" s="77"/>
    </row>
    <row r="15" spans="1:30" ht="42.75" x14ac:dyDescent="0.45">
      <c r="A15" s="25" t="s">
        <v>32</v>
      </c>
      <c r="B15" s="81"/>
      <c r="C15" s="81"/>
      <c r="D15" s="81"/>
      <c r="E15" s="82">
        <v>1.1243385E-2</v>
      </c>
      <c r="F15" s="30">
        <v>106.19</v>
      </c>
      <c r="G15" s="82">
        <f>Table13534343[[#This Row],[Tr. 2 
Gross Acreage]]*Table13534343[[#This Row],[Tr. 2
Mineral Interest]]</f>
        <v>1.1939350531499999</v>
      </c>
      <c r="H15" s="82">
        <v>1.1243385E-2</v>
      </c>
      <c r="I15" s="82">
        <v>28.222999999999999</v>
      </c>
      <c r="J15" s="83">
        <f>Table13534343[[#This Row],[Tr. 3 
Gross Acreage]]*Table13534343[[#This Row],[Tr.3 Mineral Interest]]</f>
        <v>0.31732205485499998</v>
      </c>
      <c r="K15" s="83"/>
      <c r="L15" s="83">
        <v>14.64</v>
      </c>
      <c r="M15" s="85"/>
      <c r="N15" s="82">
        <v>1.1243385E-2</v>
      </c>
      <c r="O15" s="83">
        <v>8.44</v>
      </c>
      <c r="P15" s="85">
        <f>Table13534343[[#This Row],[Tr. 5 
Gross Acreage]]*Table13534343[[#This Row],[Tr.5 Mineral Interest]]</f>
        <v>9.4894169399999992E-2</v>
      </c>
      <c r="Q15" s="82">
        <v>1.1243385E-2</v>
      </c>
      <c r="R15" s="85">
        <v>42.581000000000003</v>
      </c>
      <c r="S15" s="85">
        <f t="shared" si="0"/>
        <v>0.47875457668500004</v>
      </c>
      <c r="T15" s="83"/>
      <c r="U15" s="83">
        <v>20.545999999999999</v>
      </c>
      <c r="V15" s="85"/>
      <c r="W15" s="85">
        <f>Table13534343[[#This Row],[Tr. 1 Mineral Acres]]+Table13534343[[#This Row],[Tr. 2 Mineral Acres]]+Table13534343[[#This Row],[Tr. 3 Mineral Acres]]+Table13534343[[#This Row],[Tr. 4 Mineral Acres]]+Table13534343[[#This Row],[Tr. 5 Mineral Acres]]+Table13534343[[#This Row],[Tr. 6 Mineral Acres]]+Table13534343[[#This Row],[Tr. 7 Mineral Acres]]</f>
        <v>2.0849058540900001</v>
      </c>
      <c r="X15" s="85" t="s">
        <v>58</v>
      </c>
      <c r="Y15" s="87"/>
      <c r="Z15" s="87">
        <f>Table13534343[[#This Row],[Lease Roy.]]*Table13534343[[#This Row],[Unit Totals]]</f>
        <v>0</v>
      </c>
      <c r="AA15" s="95"/>
      <c r="AB15" s="86">
        <f t="shared" si="2"/>
        <v>0.12217361111111111</v>
      </c>
      <c r="AC15" s="122" t="s">
        <v>108</v>
      </c>
      <c r="AD15" s="77"/>
    </row>
    <row r="16" spans="1:30" ht="57" x14ac:dyDescent="0.45">
      <c r="A16" s="39" t="s">
        <v>33</v>
      </c>
      <c r="B16" s="83"/>
      <c r="C16" s="83"/>
      <c r="D16" s="83"/>
      <c r="E16" s="82">
        <v>1.1243385E-2</v>
      </c>
      <c r="F16" s="30">
        <v>106.19</v>
      </c>
      <c r="G16" s="82">
        <f>Table13534343[[#This Row],[Tr. 2 
Gross Acreage]]*Table13534343[[#This Row],[Tr. 2
Mineral Interest]]</f>
        <v>1.1939350531499999</v>
      </c>
      <c r="H16" s="82">
        <v>1.1243385E-2</v>
      </c>
      <c r="I16" s="82">
        <v>28.222999999999999</v>
      </c>
      <c r="J16" s="83">
        <f>Table13534343[[#This Row],[Tr. 3 
Gross Acreage]]*Table13534343[[#This Row],[Tr.3 Mineral Interest]]</f>
        <v>0.31732205485499998</v>
      </c>
      <c r="K16" s="83"/>
      <c r="L16" s="83">
        <v>14.64</v>
      </c>
      <c r="M16" s="85"/>
      <c r="N16" s="82">
        <v>1.1243385E-2</v>
      </c>
      <c r="O16" s="83">
        <v>8.44</v>
      </c>
      <c r="P16" s="85">
        <f>Table13534343[[#This Row],[Tr. 5 
Gross Acreage]]*Table13534343[[#This Row],[Tr.5 Mineral Interest]]</f>
        <v>9.4894169399999992E-2</v>
      </c>
      <c r="Q16" s="82">
        <v>1.1243385E-2</v>
      </c>
      <c r="R16" s="85">
        <v>42.581000000000003</v>
      </c>
      <c r="S16" s="85">
        <f t="shared" si="0"/>
        <v>0.47875457668500004</v>
      </c>
      <c r="T16" s="83"/>
      <c r="U16" s="83">
        <v>20.545999999999999</v>
      </c>
      <c r="V16" s="85"/>
      <c r="W16" s="85">
        <f>Table13534343[[#This Row],[Tr. 1 Mineral Acres]]+Table13534343[[#This Row],[Tr. 2 Mineral Acres]]+Table13534343[[#This Row],[Tr. 3 Mineral Acres]]+Table13534343[[#This Row],[Tr. 4 Mineral Acres]]+Table13534343[[#This Row],[Tr. 5 Mineral Acres]]+Table13534343[[#This Row],[Tr. 6 Mineral Acres]]+Table13534343[[#This Row],[Tr. 7 Mineral Acres]]</f>
        <v>2.0849058540900001</v>
      </c>
      <c r="X16" s="86" t="s">
        <v>57</v>
      </c>
      <c r="Y16" s="87">
        <v>0.2</v>
      </c>
      <c r="Z16" s="87">
        <f>Table13534343[[#This Row],[Lease Roy.]]*Table13534343[[#This Row],[Unit Totals]]+Table13534343[[#This Row],[NRI AC  NPR 2]]</f>
        <v>0.53915478192911115</v>
      </c>
      <c r="AA16" s="95"/>
      <c r="AB16" s="86">
        <f>35.186*1/2*1/9*1/16</f>
        <v>0.12217361111111111</v>
      </c>
      <c r="AC16" s="122"/>
      <c r="AD16" s="76">
        <v>262.64292278749997</v>
      </c>
    </row>
    <row r="17" spans="1:30" ht="57" x14ac:dyDescent="0.45">
      <c r="A17" s="25" t="s">
        <v>34</v>
      </c>
      <c r="B17" s="81"/>
      <c r="C17" s="81"/>
      <c r="D17" s="81"/>
      <c r="E17" s="82">
        <v>1.1243390000000001E-2</v>
      </c>
      <c r="F17" s="30">
        <v>106.19</v>
      </c>
      <c r="G17" s="82">
        <f>Table13534343[[#This Row],[Tr. 2 
Gross Acreage]]*Table13534343[[#This Row],[Tr. 2
Mineral Interest]]</f>
        <v>1.1939355841000001</v>
      </c>
      <c r="H17" s="82">
        <v>1.1243390000000001E-2</v>
      </c>
      <c r="I17" s="82">
        <v>28.222999999999999</v>
      </c>
      <c r="J17" s="83">
        <f>Table13534343[[#This Row],[Tr. 3 
Gross Acreage]]*Table13534343[[#This Row],[Tr.3 Mineral Interest]]</f>
        <v>0.31732219597</v>
      </c>
      <c r="K17" s="83"/>
      <c r="L17" s="83">
        <v>14.64</v>
      </c>
      <c r="M17" s="85"/>
      <c r="N17" s="82">
        <v>1.1243390000000001E-2</v>
      </c>
      <c r="O17" s="83">
        <v>8.44</v>
      </c>
      <c r="P17" s="85">
        <f>Table13534343[[#This Row],[Tr. 5 
Gross Acreage]]*Table13534343[[#This Row],[Tr.5 Mineral Interest]]</f>
        <v>9.48942116E-2</v>
      </c>
      <c r="Q17" s="82">
        <v>1.1243390000000001E-2</v>
      </c>
      <c r="R17" s="85">
        <v>42.581000000000003</v>
      </c>
      <c r="S17" s="85">
        <f t="shared" si="0"/>
        <v>0.47875478959000006</v>
      </c>
      <c r="T17" s="83"/>
      <c r="U17" s="83">
        <v>20.545999999999999</v>
      </c>
      <c r="V17" s="85"/>
      <c r="W17" s="85">
        <f>Table13534343[[#This Row],[Tr. 1 Mineral Acres]]+Table13534343[[#This Row],[Tr. 2 Mineral Acres]]+Table13534343[[#This Row],[Tr. 3 Mineral Acres]]+Table13534343[[#This Row],[Tr. 4 Mineral Acres]]+Table13534343[[#This Row],[Tr. 5 Mineral Acres]]+Table13534343[[#This Row],[Tr. 6 Mineral Acres]]+Table13534343[[#This Row],[Tr. 7 Mineral Acres]]</f>
        <v>2.0849067812600004</v>
      </c>
      <c r="X17" s="85" t="s">
        <v>58</v>
      </c>
      <c r="Y17" s="87"/>
      <c r="Z17" s="87">
        <f>Table13534343[[#This Row],[Lease Roy.]]*Table13534343[[#This Row],[Unit Totals]]</f>
        <v>0</v>
      </c>
      <c r="AA17" s="95"/>
      <c r="AB17" s="86">
        <f>35.186*1/18*1/16</f>
        <v>0.12217361111111111</v>
      </c>
      <c r="AC17" s="122" t="s">
        <v>108</v>
      </c>
      <c r="AD17" s="77"/>
    </row>
    <row r="18" spans="1:30" ht="57" x14ac:dyDescent="0.45">
      <c r="A18" s="25" t="s">
        <v>35</v>
      </c>
      <c r="B18" s="81"/>
      <c r="C18" s="81"/>
      <c r="D18" s="81"/>
      <c r="E18" s="82">
        <v>1.1243390000000001E-2</v>
      </c>
      <c r="F18" s="30">
        <v>106.19</v>
      </c>
      <c r="G18" s="82">
        <f>Table13534343[[#This Row],[Tr. 2 
Gross Acreage]]*Table13534343[[#This Row],[Tr. 2
Mineral Interest]]</f>
        <v>1.1939355841000001</v>
      </c>
      <c r="H18" s="82">
        <v>1.1243390000000001E-2</v>
      </c>
      <c r="I18" s="82">
        <v>28.222999999999999</v>
      </c>
      <c r="J18" s="83">
        <f>Table13534343[[#This Row],[Tr. 3 
Gross Acreage]]*Table13534343[[#This Row],[Tr.3 Mineral Interest]]</f>
        <v>0.31732219597</v>
      </c>
      <c r="K18" s="83"/>
      <c r="L18" s="83">
        <v>14.64</v>
      </c>
      <c r="M18" s="85"/>
      <c r="N18" s="82">
        <v>1.1243390000000001E-2</v>
      </c>
      <c r="O18" s="83">
        <v>8.44</v>
      </c>
      <c r="P18" s="85">
        <f>Table13534343[[#This Row],[Tr. 5 
Gross Acreage]]*Table13534343[[#This Row],[Tr.5 Mineral Interest]]</f>
        <v>9.48942116E-2</v>
      </c>
      <c r="Q18" s="82">
        <v>1.1243390000000001E-2</v>
      </c>
      <c r="R18" s="85">
        <v>42.581000000000003</v>
      </c>
      <c r="S18" s="85">
        <f t="shared" si="0"/>
        <v>0.47875478959000006</v>
      </c>
      <c r="T18" s="83"/>
      <c r="U18" s="83">
        <v>20.545999999999999</v>
      </c>
      <c r="V18" s="85"/>
      <c r="W18" s="85">
        <f>Table13534343[[#This Row],[Tr. 1 Mineral Acres]]+Table13534343[[#This Row],[Tr. 2 Mineral Acres]]+Table13534343[[#This Row],[Tr. 3 Mineral Acres]]+Table13534343[[#This Row],[Tr. 4 Mineral Acres]]+Table13534343[[#This Row],[Tr. 5 Mineral Acres]]+Table13534343[[#This Row],[Tr. 6 Mineral Acres]]+Table13534343[[#This Row],[Tr. 7 Mineral Acres]]</f>
        <v>2.0849067812600004</v>
      </c>
      <c r="X18" s="85" t="s">
        <v>58</v>
      </c>
      <c r="Y18" s="87"/>
      <c r="Z18" s="87">
        <f>Table13534343[[#This Row],[Lease Roy.]]*Table13534343[[#This Row],[Unit Totals]]</f>
        <v>0</v>
      </c>
      <c r="AA18" s="95"/>
      <c r="AB18" s="86">
        <f>35.186*1/18*1/16</f>
        <v>0.12217361111111111</v>
      </c>
      <c r="AC18" s="122" t="s">
        <v>108</v>
      </c>
      <c r="AD18" s="77"/>
    </row>
    <row r="19" spans="1:30" ht="57" x14ac:dyDescent="0.45">
      <c r="A19" s="39" t="s">
        <v>181</v>
      </c>
      <c r="B19" s="83"/>
      <c r="C19" s="83"/>
      <c r="D19" s="83"/>
      <c r="E19" s="82">
        <v>2.232143E-2</v>
      </c>
      <c r="F19" s="30">
        <v>106.19</v>
      </c>
      <c r="G19" s="82">
        <f>Table13534343[[#This Row],[Tr. 2 
Gross Acreage]]*Table13534343[[#This Row],[Tr. 2
Mineral Interest]]</f>
        <v>2.3703126516999999</v>
      </c>
      <c r="H19" s="82">
        <v>2.232143E-2</v>
      </c>
      <c r="I19" s="82">
        <v>28.222999999999999</v>
      </c>
      <c r="J19" s="82">
        <f>Table13534343[[#This Row],[Tr. 3 
Gross Acreage]]*Table13534343[[#This Row],[Tr.3 Mineral Interest]]</f>
        <v>0.62997771888999998</v>
      </c>
      <c r="K19" s="82"/>
      <c r="L19" s="82"/>
      <c r="M19" s="82"/>
      <c r="N19" s="82">
        <v>2.232143E-2</v>
      </c>
      <c r="O19" s="83">
        <v>8.44</v>
      </c>
      <c r="P19" s="82">
        <f>Table13534343[[#This Row],[Tr. 5 
Gross Acreage]]*Table13534343[[#This Row],[Tr.5 Mineral Interest]]</f>
        <v>0.18839286919999998</v>
      </c>
      <c r="Q19" s="82">
        <v>2.232143E-2</v>
      </c>
      <c r="R19" s="82">
        <v>42.581000000000003</v>
      </c>
      <c r="S19" s="85">
        <f t="shared" si="0"/>
        <v>0.95046881083000001</v>
      </c>
      <c r="T19" s="82"/>
      <c r="U19" s="83"/>
      <c r="V19" s="82"/>
      <c r="W19" s="82">
        <f>Table13534343[[#This Row],[Tr. 1 Mineral Acres]]+Table13534343[[#This Row],[Tr. 2 Mineral Acres]]+Table13534343[[#This Row],[Tr. 3 Mineral Acres]]+Table13534343[[#This Row],[Tr. 4 Mineral Acres]]+Table13534343[[#This Row],[Tr. 5 Mineral Acres]]+Table13534343[[#This Row],[Tr. 6 Mineral Acres]]+Table13534343[[#This Row],[Tr. 7 Mineral Acres]]</f>
        <v>4.1391520506199999</v>
      </c>
      <c r="X19" s="86" t="s">
        <v>57</v>
      </c>
      <c r="Y19" s="82">
        <v>0.2</v>
      </c>
      <c r="Z19" s="87">
        <f>Table13534343[[#This Row],[Lease Roy.]]*Table13534343[[#This Row],[Unit Totals]]</f>
        <v>0.82783041012400005</v>
      </c>
      <c r="AA19" s="95"/>
      <c r="AB19" s="95"/>
      <c r="AC19" s="122"/>
      <c r="AD19" s="76">
        <v>147.82798479999997</v>
      </c>
    </row>
    <row r="20" spans="1:30" ht="42.75" x14ac:dyDescent="0.45">
      <c r="A20" s="39" t="s">
        <v>37</v>
      </c>
      <c r="B20" s="83"/>
      <c r="C20" s="83"/>
      <c r="D20" s="83"/>
      <c r="E20" s="82">
        <v>2.232143E-2</v>
      </c>
      <c r="F20" s="30">
        <v>106.19</v>
      </c>
      <c r="G20" s="82">
        <f>Table13534343[[#This Row],[Tr. 2 
Gross Acreage]]*Table13534343[[#This Row],[Tr. 2
Mineral Interest]]</f>
        <v>2.3703126516999999</v>
      </c>
      <c r="H20" s="82">
        <v>2.232143E-2</v>
      </c>
      <c r="I20" s="82">
        <v>28.222999999999999</v>
      </c>
      <c r="J20" s="82">
        <f>Table13534343[[#This Row],[Tr. 3 
Gross Acreage]]*Table13534343[[#This Row],[Tr.3 Mineral Interest]]</f>
        <v>0.62997771888999998</v>
      </c>
      <c r="K20" s="82"/>
      <c r="L20" s="82"/>
      <c r="M20" s="82"/>
      <c r="N20" s="82">
        <v>2.232143E-2</v>
      </c>
      <c r="O20" s="83">
        <v>8.44</v>
      </c>
      <c r="P20" s="82">
        <f>Table13534343[[#This Row],[Tr. 5 
Gross Acreage]]*Table13534343[[#This Row],[Tr.5 Mineral Interest]]</f>
        <v>0.18839286919999998</v>
      </c>
      <c r="Q20" s="82">
        <v>2.232143E-2</v>
      </c>
      <c r="R20" s="82">
        <v>42.581000000000003</v>
      </c>
      <c r="S20" s="85">
        <f t="shared" si="0"/>
        <v>0.95046881083000001</v>
      </c>
      <c r="T20" s="82"/>
      <c r="U20" s="83"/>
      <c r="V20" s="82"/>
      <c r="W20" s="82">
        <f>Table13534343[[#This Row],[Tr. 1 Mineral Acres]]+Table13534343[[#This Row],[Tr. 2 Mineral Acres]]+Table13534343[[#This Row],[Tr. 3 Mineral Acres]]+Table13534343[[#This Row],[Tr. 4 Mineral Acres]]+Table13534343[[#This Row],[Tr. 5 Mineral Acres]]+Table13534343[[#This Row],[Tr. 6 Mineral Acres]]+Table13534343[[#This Row],[Tr. 7 Mineral Acres]]</f>
        <v>4.1391520506199999</v>
      </c>
      <c r="X20" s="85" t="s">
        <v>58</v>
      </c>
      <c r="Y20" s="82"/>
      <c r="Z20" s="82">
        <f>Table13534343[[#This Row],[Lease Roy.]]*Table13534343[[#This Row],[Unit Totals]]</f>
        <v>0</v>
      </c>
      <c r="AA20" s="95"/>
      <c r="AB20" s="95"/>
      <c r="AC20" s="122" t="s">
        <v>108</v>
      </c>
      <c r="AD20" s="77"/>
    </row>
    <row r="21" spans="1:30" ht="57" x14ac:dyDescent="0.45">
      <c r="A21" s="39" t="s">
        <v>38</v>
      </c>
      <c r="B21" s="83"/>
      <c r="C21" s="83"/>
      <c r="D21" s="83"/>
      <c r="E21" s="82">
        <v>2.232143E-2</v>
      </c>
      <c r="F21" s="30">
        <v>106.19</v>
      </c>
      <c r="G21" s="82">
        <f>Table13534343[[#This Row],[Tr. 2 
Gross Acreage]]*Table13534343[[#This Row],[Tr. 2
Mineral Interest]]</f>
        <v>2.3703126516999999</v>
      </c>
      <c r="H21" s="82">
        <v>2.232143E-2</v>
      </c>
      <c r="I21" s="82">
        <v>28.222999999999999</v>
      </c>
      <c r="J21" s="82">
        <f>Table13534343[[#This Row],[Tr. 3 
Gross Acreage]]*Table13534343[[#This Row],[Tr.3 Mineral Interest]]</f>
        <v>0.62997771888999998</v>
      </c>
      <c r="K21" s="82"/>
      <c r="L21" s="82"/>
      <c r="M21" s="82"/>
      <c r="N21" s="82">
        <v>2.232143E-2</v>
      </c>
      <c r="O21" s="83">
        <v>8.44</v>
      </c>
      <c r="P21" s="82">
        <f>Table13534343[[#This Row],[Tr. 5 
Gross Acreage]]*Table13534343[[#This Row],[Tr.5 Mineral Interest]]</f>
        <v>0.18839286919999998</v>
      </c>
      <c r="Q21" s="82">
        <v>2.232143E-2</v>
      </c>
      <c r="R21" s="82">
        <v>42.581000000000003</v>
      </c>
      <c r="S21" s="85">
        <f t="shared" si="0"/>
        <v>0.95046881083000001</v>
      </c>
      <c r="T21" s="82"/>
      <c r="U21" s="83"/>
      <c r="V21" s="82"/>
      <c r="W21" s="82">
        <f>Table13534343[[#This Row],[Tr. 1 Mineral Acres]]+Table13534343[[#This Row],[Tr. 2 Mineral Acres]]+Table13534343[[#This Row],[Tr. 3 Mineral Acres]]+Table13534343[[#This Row],[Tr. 4 Mineral Acres]]+Table13534343[[#This Row],[Tr. 5 Mineral Acres]]+Table13534343[[#This Row],[Tr. 6 Mineral Acres]]+Table13534343[[#This Row],[Tr. 7 Mineral Acres]]</f>
        <v>4.1391520506199999</v>
      </c>
      <c r="X21" s="85" t="s">
        <v>58</v>
      </c>
      <c r="Y21" s="82"/>
      <c r="Z21" s="82">
        <f>Table13534343[[#This Row],[Lease Roy.]]*Table13534343[[#This Row],[Unit Totals]]</f>
        <v>0</v>
      </c>
      <c r="AA21" s="95"/>
      <c r="AB21" s="95"/>
      <c r="AC21" s="122" t="s">
        <v>108</v>
      </c>
      <c r="AD21" s="77"/>
    </row>
    <row r="22" spans="1:30" ht="42.75" x14ac:dyDescent="0.45">
      <c r="A22" s="39" t="s">
        <v>39</v>
      </c>
      <c r="B22" s="83"/>
      <c r="C22" s="83"/>
      <c r="D22" s="83"/>
      <c r="E22" s="82">
        <v>2.232143E-2</v>
      </c>
      <c r="F22" s="30">
        <v>106.19</v>
      </c>
      <c r="G22" s="82">
        <f>Table13534343[[#This Row],[Tr. 2 
Gross Acreage]]*Table13534343[[#This Row],[Tr. 2
Mineral Interest]]</f>
        <v>2.3703126516999999</v>
      </c>
      <c r="H22" s="82">
        <v>2.232143E-2</v>
      </c>
      <c r="I22" s="82">
        <v>28.222999999999999</v>
      </c>
      <c r="J22" s="82">
        <f>Table13534343[[#This Row],[Tr. 3 
Gross Acreage]]*Table13534343[[#This Row],[Tr.3 Mineral Interest]]</f>
        <v>0.62997771888999998</v>
      </c>
      <c r="K22" s="82"/>
      <c r="L22" s="82"/>
      <c r="M22" s="82"/>
      <c r="N22" s="82">
        <v>2.232143E-2</v>
      </c>
      <c r="O22" s="83">
        <v>8.44</v>
      </c>
      <c r="P22" s="82">
        <f>Table13534343[[#This Row],[Tr. 5 
Gross Acreage]]*Table13534343[[#This Row],[Tr.5 Mineral Interest]]</f>
        <v>0.18839286919999998</v>
      </c>
      <c r="Q22" s="82">
        <v>2.232143E-2</v>
      </c>
      <c r="R22" s="82">
        <v>42.581000000000003</v>
      </c>
      <c r="S22" s="85">
        <f t="shared" si="0"/>
        <v>0.95046881083000001</v>
      </c>
      <c r="T22" s="82"/>
      <c r="U22" s="83"/>
      <c r="V22" s="82"/>
      <c r="W22" s="82">
        <f>Table13534343[[#This Row],[Tr. 1 Mineral Acres]]+Table13534343[[#This Row],[Tr. 2 Mineral Acres]]+Table13534343[[#This Row],[Tr. 3 Mineral Acres]]+Table13534343[[#This Row],[Tr. 4 Mineral Acres]]+Table13534343[[#This Row],[Tr. 5 Mineral Acres]]+Table13534343[[#This Row],[Tr. 6 Mineral Acres]]+Table13534343[[#This Row],[Tr. 7 Mineral Acres]]</f>
        <v>4.1391520506199999</v>
      </c>
      <c r="X22" s="85" t="s">
        <v>58</v>
      </c>
      <c r="Y22" s="82"/>
      <c r="Z22" s="82">
        <f>Table13534343[[#This Row],[Lease Roy.]]*Table13534343[[#This Row],[Unit Totals]]</f>
        <v>0</v>
      </c>
      <c r="AA22" s="95"/>
      <c r="AB22" s="95"/>
      <c r="AC22" s="123" t="s">
        <v>61</v>
      </c>
      <c r="AD22" s="77"/>
    </row>
    <row r="23" spans="1:30" ht="42.75" x14ac:dyDescent="0.45">
      <c r="A23" s="43" t="s">
        <v>40</v>
      </c>
      <c r="B23" s="83"/>
      <c r="C23" s="83"/>
      <c r="D23" s="83"/>
      <c r="E23" s="82"/>
      <c r="F23" s="30"/>
      <c r="G23" s="82"/>
      <c r="H23" s="82"/>
      <c r="I23" s="82"/>
      <c r="J23" s="83"/>
      <c r="K23" s="83"/>
      <c r="L23" s="83"/>
      <c r="M23" s="82"/>
      <c r="N23" s="82"/>
      <c r="O23" s="83"/>
      <c r="P23" s="82"/>
      <c r="Q23" s="83">
        <v>2.3809520000000001E-2</v>
      </c>
      <c r="R23" s="82">
        <v>42.581000000000003</v>
      </c>
      <c r="S23" s="85">
        <f t="shared" si="0"/>
        <v>1.0138331711200002</v>
      </c>
      <c r="T23" s="83"/>
      <c r="U23" s="83"/>
      <c r="V23" s="82"/>
      <c r="W23" s="82">
        <f>Table13534343[[#This Row],[Tr. 1 Mineral Acres]]+Table13534343[[#This Row],[Tr. 2 Mineral Acres]]+Table13534343[[#This Row],[Tr. 3 Mineral Acres]]+Table13534343[[#This Row],[Tr. 4 Mineral Acres]]+Table13534343[[#This Row],[Tr. 5 Mineral Acres]]+Table13534343[[#This Row],[Tr. 6 Mineral Acres]]+Table13534343[[#This Row],[Tr. 7 Mineral Acres]]</f>
        <v>1.0138331711200002</v>
      </c>
      <c r="X23" s="85" t="s">
        <v>58</v>
      </c>
      <c r="Y23" s="87"/>
      <c r="Z23" s="87">
        <f>Table13534343[[#This Row],[Lease Roy.]]*Table13534343[[#This Row],[Unit Totals]]</f>
        <v>0</v>
      </c>
      <c r="AA23" s="95"/>
      <c r="AB23" s="95"/>
      <c r="AC23" s="122" t="s">
        <v>79</v>
      </c>
      <c r="AD23" s="77"/>
    </row>
    <row r="24" spans="1:30" ht="57" x14ac:dyDescent="0.45">
      <c r="A24" s="39" t="s">
        <v>171</v>
      </c>
      <c r="B24" s="83"/>
      <c r="C24" s="83"/>
      <c r="D24" s="83"/>
      <c r="E24" s="82"/>
      <c r="F24" s="30"/>
      <c r="G24" s="82"/>
      <c r="H24" s="82">
        <v>4.7619050000000003E-2</v>
      </c>
      <c r="I24" s="82">
        <v>28.222999999999999</v>
      </c>
      <c r="J24" s="83">
        <f>Table13534343[[#This Row],[Tr. 3 
Gross Acreage]]*Table13534343[[#This Row],[Tr.3 Mineral Interest]]</f>
        <v>1.34395244815</v>
      </c>
      <c r="K24" s="83"/>
      <c r="L24" s="83"/>
      <c r="M24" s="85"/>
      <c r="N24" s="82">
        <v>4.7619050000000003E-2</v>
      </c>
      <c r="O24" s="83">
        <v>8.44</v>
      </c>
      <c r="P24" s="85">
        <f>Table13534343[[#This Row],[Tr. 5 
Gross Acreage]]*Table13534343[[#This Row],[Tr.5 Mineral Interest]]</f>
        <v>0.40190478200000002</v>
      </c>
      <c r="Q24" s="82">
        <v>4.7619050000000003E-2</v>
      </c>
      <c r="R24" s="85">
        <v>42.581000000000003</v>
      </c>
      <c r="S24" s="85">
        <f t="shared" si="0"/>
        <v>2.0276667680500005</v>
      </c>
      <c r="T24" s="83"/>
      <c r="U24" s="83"/>
      <c r="V24" s="85"/>
      <c r="W24" s="85">
        <f>Table13534343[[#This Row],[Tr. 1 Mineral Acres]]+Table13534343[[#This Row],[Tr. 2 Mineral Acres]]+Table13534343[[#This Row],[Tr. 3 Mineral Acres]]+Table13534343[[#This Row],[Tr. 4 Mineral Acres]]+Table13534343[[#This Row],[Tr. 5 Mineral Acres]]+Table13534343[[#This Row],[Tr. 6 Mineral Acres]]+Table13534343[[#This Row],[Tr. 7 Mineral Acres]]</f>
        <v>3.7735239982000004</v>
      </c>
      <c r="X24" s="86" t="s">
        <v>57</v>
      </c>
      <c r="Y24" s="87">
        <v>0.16666666666666666</v>
      </c>
      <c r="Z24" s="87">
        <f>Table13534343[[#This Row],[Lease Roy.]]*Table13534343[[#This Row],[Unit Totals]]</f>
        <v>0.62892066636666666</v>
      </c>
      <c r="AA24" s="95"/>
      <c r="AB24" s="95"/>
      <c r="AC24" s="122"/>
      <c r="AD24" s="76">
        <v>471.69000450000004</v>
      </c>
    </row>
    <row r="25" spans="1:30" ht="57" x14ac:dyDescent="0.45">
      <c r="A25" s="39" t="s">
        <v>170</v>
      </c>
      <c r="B25" s="83"/>
      <c r="C25" s="83"/>
      <c r="D25" s="83"/>
      <c r="E25" s="82"/>
      <c r="F25" s="30"/>
      <c r="G25" s="82"/>
      <c r="H25" s="82">
        <v>1.190476E-2</v>
      </c>
      <c r="I25" s="82">
        <v>28.222999999999999</v>
      </c>
      <c r="J25" s="83">
        <f>Table13534343[[#This Row],[Tr. 3 
Gross Acreage]]*Table13534343[[#This Row],[Tr.3 Mineral Interest]]</f>
        <v>0.33598804148</v>
      </c>
      <c r="K25" s="82"/>
      <c r="L25" s="83"/>
      <c r="M25" s="85"/>
      <c r="N25" s="82">
        <v>1.190476E-2</v>
      </c>
      <c r="O25" s="83">
        <v>8.44</v>
      </c>
      <c r="P25" s="85">
        <f>Table13534343[[#This Row],[Tr. 5 
Gross Acreage]]*Table13534343[[#This Row],[Tr.5 Mineral Interest]]</f>
        <v>0.10047617439999999</v>
      </c>
      <c r="Q25" s="82">
        <v>1.190476E-2</v>
      </c>
      <c r="R25" s="85">
        <v>42.581000000000003</v>
      </c>
      <c r="S25" s="85">
        <f t="shared" si="0"/>
        <v>0.50691658556000008</v>
      </c>
      <c r="T25" s="82"/>
      <c r="U25" s="83"/>
      <c r="V25" s="85"/>
      <c r="W25" s="85">
        <f>Table13534343[[#This Row],[Tr. 1 Mineral Acres]]+Table13534343[[#This Row],[Tr. 2 Mineral Acres]]+Table13534343[[#This Row],[Tr. 3 Mineral Acres]]+Table13534343[[#This Row],[Tr. 4 Mineral Acres]]+Table13534343[[#This Row],[Tr. 5 Mineral Acres]]+Table13534343[[#This Row],[Tr. 6 Mineral Acres]]+Table13534343[[#This Row],[Tr. 7 Mineral Acres]]</f>
        <v>0.94338080144000003</v>
      </c>
      <c r="X25" s="86" t="s">
        <v>57</v>
      </c>
      <c r="Y25" s="87">
        <v>0.16666666666666666</v>
      </c>
      <c r="Z25" s="87">
        <f>Table13534343[[#This Row],[Lease Roy.]]*Table13534343[[#This Row],[Unit Totals]]</f>
        <v>0.15723013357333332</v>
      </c>
      <c r="AA25" s="95"/>
      <c r="AB25" s="95"/>
      <c r="AC25" s="122"/>
      <c r="AD25" s="76">
        <v>117.92200585000001</v>
      </c>
    </row>
    <row r="26" spans="1:30" ht="42.75" x14ac:dyDescent="0.45">
      <c r="A26" s="75" t="s">
        <v>82</v>
      </c>
      <c r="B26" s="83"/>
      <c r="C26" s="83"/>
      <c r="D26" s="83"/>
      <c r="E26" s="82">
        <v>5.9523800000000002E-3</v>
      </c>
      <c r="F26" s="30">
        <v>106.19</v>
      </c>
      <c r="G26" s="82">
        <f>Table13534343[[#This Row],[Tr. 2 
Gross Acreage]]*Table13534343[[#This Row],[Tr. 2
Mineral Interest]]</f>
        <v>0.63208323219999996</v>
      </c>
      <c r="H26" s="82">
        <v>5.9523800000000002E-3</v>
      </c>
      <c r="I26" s="82">
        <v>28.222999999999999</v>
      </c>
      <c r="J26" s="82">
        <f>Table13534343[[#This Row],[Tr. 3 
Gross Acreage]]*Table13534343[[#This Row],[Tr.3 Mineral Interest]]</f>
        <v>0.16799402074</v>
      </c>
      <c r="K26" s="82"/>
      <c r="L26" s="82"/>
      <c r="M26" s="82"/>
      <c r="N26" s="82">
        <v>5.9523800000000002E-3</v>
      </c>
      <c r="O26" s="83">
        <v>8.44</v>
      </c>
      <c r="P26" s="82">
        <f>Table13534343[[#This Row],[Tr. 5 
Gross Acreage]]*Table13534343[[#This Row],[Tr.5 Mineral Interest]]</f>
        <v>5.0238087199999996E-2</v>
      </c>
      <c r="Q26" s="82"/>
      <c r="R26" s="82"/>
      <c r="S26" s="82"/>
      <c r="T26" s="82"/>
      <c r="U26" s="82"/>
      <c r="V26" s="82"/>
      <c r="W26" s="82">
        <f>Table13534343[[#This Row],[Tr. 1 Mineral Acres]]+Table13534343[[#This Row],[Tr. 2 Mineral Acres]]+Table13534343[[#This Row],[Tr. 3 Mineral Acres]]+Table13534343[[#This Row],[Tr. 4 Mineral Acres]]+Table13534343[[#This Row],[Tr. 5 Mineral Acres]]+Table13534343[[#This Row],[Tr. 6 Mineral Acres]]+Table13534343[[#This Row],[Tr. 7 Mineral Acres]]</f>
        <v>0.85031534013999999</v>
      </c>
      <c r="X26" s="82" t="s">
        <v>58</v>
      </c>
      <c r="Y26" s="87"/>
      <c r="Z26" s="87">
        <f>Table13534343[[#This Row],[Lease Roy.]]*Table13534343[[#This Row],[Unit Totals]]</f>
        <v>0</v>
      </c>
      <c r="AA26" s="95"/>
      <c r="AB26" s="95"/>
      <c r="AC26" s="124" t="s">
        <v>98</v>
      </c>
      <c r="AD26" s="77"/>
    </row>
    <row r="27" spans="1:30" ht="42.75" x14ac:dyDescent="0.45">
      <c r="A27" s="75" t="s">
        <v>80</v>
      </c>
      <c r="B27" s="83"/>
      <c r="C27" s="83"/>
      <c r="D27" s="83"/>
      <c r="E27" s="82">
        <v>5.9523800000000002E-3</v>
      </c>
      <c r="F27" s="30">
        <v>106.19</v>
      </c>
      <c r="G27" s="82">
        <f>Table13534343[[#This Row],[Tr. 2 
Gross Acreage]]*Table13534343[[#This Row],[Tr. 2
Mineral Interest]]</f>
        <v>0.63208323219999996</v>
      </c>
      <c r="H27" s="82">
        <v>5.9523800000000002E-3</v>
      </c>
      <c r="I27" s="82">
        <v>28.222999999999999</v>
      </c>
      <c r="J27" s="82">
        <f>Table13534343[[#This Row],[Tr. 3 
Gross Acreage]]*Table13534343[[#This Row],[Tr.3 Mineral Interest]]</f>
        <v>0.16799402074</v>
      </c>
      <c r="K27" s="82"/>
      <c r="L27" s="82"/>
      <c r="M27" s="82"/>
      <c r="N27" s="82">
        <v>5.9523800000000002E-3</v>
      </c>
      <c r="O27" s="83">
        <v>8.44</v>
      </c>
      <c r="P27" s="82">
        <f>Table13534343[[#This Row],[Tr. 5 
Gross Acreage]]*Table13534343[[#This Row],[Tr.5 Mineral Interest]]</f>
        <v>5.0238087199999996E-2</v>
      </c>
      <c r="Q27" s="82"/>
      <c r="R27" s="82"/>
      <c r="S27" s="82"/>
      <c r="T27" s="82"/>
      <c r="U27" s="82"/>
      <c r="V27" s="82"/>
      <c r="W27" s="82">
        <f>Table13534343[[#This Row],[Tr. 1 Mineral Acres]]+Table13534343[[#This Row],[Tr. 2 Mineral Acres]]+Table13534343[[#This Row],[Tr. 3 Mineral Acres]]+Table13534343[[#This Row],[Tr. 4 Mineral Acres]]+Table13534343[[#This Row],[Tr. 5 Mineral Acres]]+Table13534343[[#This Row],[Tr. 6 Mineral Acres]]+Table13534343[[#This Row],[Tr. 7 Mineral Acres]]</f>
        <v>0.85031534013999999</v>
      </c>
      <c r="X27" s="82" t="s">
        <v>58</v>
      </c>
      <c r="Y27" s="87"/>
      <c r="Z27" s="87">
        <f>Table13534343[[#This Row],[Lease Roy.]]*Table13534343[[#This Row],[Unit Totals]]</f>
        <v>0</v>
      </c>
      <c r="AA27" s="80"/>
      <c r="AB27" s="80"/>
      <c r="AC27" s="124" t="s">
        <v>98</v>
      </c>
      <c r="AD27" s="77"/>
    </row>
    <row r="28" spans="1:30" ht="42.75" x14ac:dyDescent="0.45">
      <c r="A28" s="75" t="s">
        <v>81</v>
      </c>
      <c r="B28" s="83"/>
      <c r="C28" s="83"/>
      <c r="D28" s="83"/>
      <c r="E28" s="82">
        <v>5.9523800000000002E-3</v>
      </c>
      <c r="F28" s="30">
        <v>106.19</v>
      </c>
      <c r="G28" s="82">
        <f>Table13534343[[#This Row],[Tr. 2 
Gross Acreage]]*Table13534343[[#This Row],[Tr. 2
Mineral Interest]]</f>
        <v>0.63208323219999996</v>
      </c>
      <c r="H28" s="82">
        <v>5.9523800000000002E-3</v>
      </c>
      <c r="I28" s="82">
        <v>28.222999999999999</v>
      </c>
      <c r="J28" s="82">
        <f>Table13534343[[#This Row],[Tr. 3 
Gross Acreage]]*Table13534343[[#This Row],[Tr.3 Mineral Interest]]</f>
        <v>0.16799402074</v>
      </c>
      <c r="K28" s="82"/>
      <c r="L28" s="82"/>
      <c r="M28" s="82"/>
      <c r="N28" s="82">
        <v>5.9523800000000002E-3</v>
      </c>
      <c r="O28" s="83">
        <v>8.44</v>
      </c>
      <c r="P28" s="82">
        <f>Table13534343[[#This Row],[Tr. 5 
Gross Acreage]]*Table13534343[[#This Row],[Tr.5 Mineral Interest]]</f>
        <v>5.0238087199999996E-2</v>
      </c>
      <c r="Q28" s="82"/>
      <c r="R28" s="82"/>
      <c r="S28" s="82"/>
      <c r="T28" s="82"/>
      <c r="U28" s="82"/>
      <c r="V28" s="82"/>
      <c r="W28" s="82">
        <f>Table13534343[[#This Row],[Tr. 1 Mineral Acres]]+Table13534343[[#This Row],[Tr. 2 Mineral Acres]]+Table13534343[[#This Row],[Tr. 3 Mineral Acres]]+Table13534343[[#This Row],[Tr. 4 Mineral Acres]]+Table13534343[[#This Row],[Tr. 5 Mineral Acres]]+Table13534343[[#This Row],[Tr. 6 Mineral Acres]]+Table13534343[[#This Row],[Tr. 7 Mineral Acres]]</f>
        <v>0.85031534013999999</v>
      </c>
      <c r="X28" s="82" t="s">
        <v>58</v>
      </c>
      <c r="Y28" s="87"/>
      <c r="Z28" s="87">
        <f>Table13534343[[#This Row],[Lease Roy.]]*Table13534343[[#This Row],[Unit Totals]]</f>
        <v>0</v>
      </c>
      <c r="AA28" s="80"/>
      <c r="AB28" s="80"/>
      <c r="AC28" s="124" t="s">
        <v>98</v>
      </c>
      <c r="AD28" s="77"/>
    </row>
    <row r="29" spans="1:30" ht="128.25" x14ac:dyDescent="0.45">
      <c r="A29" s="75" t="s">
        <v>83</v>
      </c>
      <c r="B29" s="83"/>
      <c r="C29" s="83"/>
      <c r="D29" s="83"/>
      <c r="E29" s="82">
        <v>5.9523800000000002E-3</v>
      </c>
      <c r="F29" s="30">
        <v>106.19</v>
      </c>
      <c r="G29" s="82">
        <f>Table13534343[[#This Row],[Tr. 2 
Gross Acreage]]*Table13534343[[#This Row],[Tr. 2
Mineral Interest]]</f>
        <v>0.63208323219999996</v>
      </c>
      <c r="H29" s="82">
        <v>5.9523800000000002E-3</v>
      </c>
      <c r="I29" s="82">
        <v>28.222999999999999</v>
      </c>
      <c r="J29" s="82">
        <f>Table13534343[[#This Row],[Tr. 3 
Gross Acreage]]*Table13534343[[#This Row],[Tr.3 Mineral Interest]]</f>
        <v>0.16799402074</v>
      </c>
      <c r="K29" s="82"/>
      <c r="L29" s="82"/>
      <c r="M29" s="82"/>
      <c r="N29" s="82">
        <v>5.9523800000000002E-3</v>
      </c>
      <c r="O29" s="83">
        <v>8.44</v>
      </c>
      <c r="P29" s="82">
        <f>Table13534343[[#This Row],[Tr. 5 
Gross Acreage]]*Table13534343[[#This Row],[Tr.5 Mineral Interest]]</f>
        <v>5.0238087199999996E-2</v>
      </c>
      <c r="Q29" s="82"/>
      <c r="R29" s="82"/>
      <c r="S29" s="82"/>
      <c r="T29" s="82"/>
      <c r="U29" s="82"/>
      <c r="V29" s="82"/>
      <c r="W29" s="82">
        <f>Table13534343[[#This Row],[Tr. 1 Mineral Acres]]+Table13534343[[#This Row],[Tr. 2 Mineral Acres]]+Table13534343[[#This Row],[Tr. 3 Mineral Acres]]+Table13534343[[#This Row],[Tr. 4 Mineral Acres]]+Table13534343[[#This Row],[Tr. 5 Mineral Acres]]+Table13534343[[#This Row],[Tr. 6 Mineral Acres]]+Table13534343[[#This Row],[Tr. 7 Mineral Acres]]</f>
        <v>0.85031534013999999</v>
      </c>
      <c r="X29" s="82" t="s">
        <v>58</v>
      </c>
      <c r="Y29" s="87"/>
      <c r="Z29" s="87">
        <f>Table13534343[[#This Row],[Lease Roy.]]*Table13534343[[#This Row],[Unit Totals]]</f>
        <v>0</v>
      </c>
      <c r="AA29" s="80"/>
      <c r="AB29" s="80"/>
      <c r="AC29" s="124" t="s">
        <v>98</v>
      </c>
      <c r="AD29" s="77"/>
    </row>
    <row r="30" spans="1:30" ht="42.75" x14ac:dyDescent="0.45">
      <c r="A30" s="25" t="s">
        <v>46</v>
      </c>
      <c r="B30" s="83"/>
      <c r="C30" s="83"/>
      <c r="D30" s="83"/>
      <c r="E30" s="82"/>
      <c r="F30" s="30"/>
      <c r="G30" s="82"/>
      <c r="H30" s="82"/>
      <c r="I30" s="82"/>
      <c r="J30" s="82"/>
      <c r="K30" s="82">
        <v>0.5</v>
      </c>
      <c r="L30" s="81">
        <v>14.64</v>
      </c>
      <c r="M30" s="85">
        <f>Table13534343[[#This Row],[Tr. 4 
Gross Acreage]]*Table13534343[[#This Row],[Tr. 4 Mineral Interest]]</f>
        <v>7.32</v>
      </c>
      <c r="N30" s="82">
        <v>0.20238095</v>
      </c>
      <c r="O30" s="83">
        <v>8.44</v>
      </c>
      <c r="P30" s="82">
        <f>Table13534343[[#This Row],[Tr. 5 
Gross Acreage]]*Table13534343[[#This Row],[Tr.5 Mineral Interest]]</f>
        <v>1.708095218</v>
      </c>
      <c r="Q30" s="82"/>
      <c r="R30" s="82"/>
      <c r="S30" s="85"/>
      <c r="T30" s="82"/>
      <c r="U30" s="83"/>
      <c r="V30" s="82"/>
      <c r="W30" s="82">
        <f>Table13534343[[#This Row],[Tr. 1 Mineral Acres]]+Table13534343[[#This Row],[Tr. 2 Mineral Acres]]+Table13534343[[#This Row],[Tr. 3 Mineral Acres]]+Table13534343[[#This Row],[Tr. 4 Mineral Acres]]+Table13534343[[#This Row],[Tr. 5 Mineral Acres]]+Table13534343[[#This Row],[Tr. 6 Mineral Acres]]+Table13534343[[#This Row],[Tr. 7 Mineral Acres]]</f>
        <v>9.0280952180000007</v>
      </c>
      <c r="X30" s="85" t="s">
        <v>58</v>
      </c>
      <c r="Y30" s="87"/>
      <c r="Z30" s="87">
        <f>Table13534343[[#This Row],[Lease Roy.]]*Table13534343[[#This Row],[Unit Totals]]</f>
        <v>0</v>
      </c>
      <c r="AA30" s="80"/>
      <c r="AB30" s="80"/>
      <c r="AC30" s="122" t="s">
        <v>108</v>
      </c>
      <c r="AD30" s="77"/>
    </row>
    <row r="31" spans="1:30" ht="42.75" x14ac:dyDescent="0.45">
      <c r="A31" s="25" t="s">
        <v>47</v>
      </c>
      <c r="B31" s="89"/>
      <c r="C31" s="89"/>
      <c r="D31" s="89"/>
      <c r="E31" s="90"/>
      <c r="F31" s="51"/>
      <c r="G31" s="82"/>
      <c r="H31" s="90"/>
      <c r="I31" s="90"/>
      <c r="J31" s="90"/>
      <c r="K31" s="82"/>
      <c r="L31" s="90"/>
      <c r="M31" s="90"/>
      <c r="N31" s="82"/>
      <c r="O31" s="83"/>
      <c r="P31" s="90"/>
      <c r="Q31" s="90"/>
      <c r="R31" s="90"/>
      <c r="S31" s="85"/>
      <c r="T31" s="82">
        <v>0.25</v>
      </c>
      <c r="U31" s="83">
        <v>20.545999999999999</v>
      </c>
      <c r="V31" s="90">
        <f>Table13534343[[#This Row],[Tr. 7 
Gross Acreage]]*Table13534343[[#This Row],[Tr. 7 Mineral Interest]]</f>
        <v>5.1364999999999998</v>
      </c>
      <c r="W31" s="90">
        <f>Table13534343[[#This Row],[Tr. 1 Mineral Acres]]+Table13534343[[#This Row],[Tr. 2 Mineral Acres]]+Table13534343[[#This Row],[Tr. 3 Mineral Acres]]+Table13534343[[#This Row],[Tr. 4 Mineral Acres]]+Table13534343[[#This Row],[Tr. 5 Mineral Acres]]+Table13534343[[#This Row],[Tr. 6 Mineral Acres]]+Table13534343[[#This Row],[Tr. 7 Mineral Acres]]</f>
        <v>5.1364999999999998</v>
      </c>
      <c r="X31" s="85" t="s">
        <v>58</v>
      </c>
      <c r="Y31" s="87"/>
      <c r="Z31" s="87">
        <f>Table13534343[[#This Row],[Lease Roy.]]*Table13534343[[#This Row],[Unit Totals]]</f>
        <v>0</v>
      </c>
      <c r="AA31" s="80"/>
      <c r="AB31" s="80"/>
      <c r="AC31" s="122" t="s">
        <v>108</v>
      </c>
      <c r="AD31" s="76"/>
    </row>
    <row r="32" spans="1:30" x14ac:dyDescent="0.45">
      <c r="A32" s="65" t="s">
        <v>93</v>
      </c>
      <c r="B32" s="83"/>
      <c r="C32" s="83"/>
      <c r="D32" s="83"/>
      <c r="E32" s="82"/>
      <c r="F32" s="30"/>
      <c r="G32" s="82"/>
      <c r="H32" s="91">
        <v>0.125</v>
      </c>
      <c r="I32" s="82"/>
      <c r="J32" s="82"/>
      <c r="K32" s="82"/>
      <c r="L32" s="82"/>
      <c r="M32" s="82"/>
      <c r="N32" s="82"/>
      <c r="O32" s="83"/>
      <c r="P32" s="82"/>
      <c r="Q32" s="82"/>
      <c r="R32" s="82"/>
      <c r="S32" s="85"/>
      <c r="T32" s="82"/>
      <c r="U32" s="83"/>
      <c r="V32" s="82"/>
      <c r="W32" s="82">
        <f>Table13534343[[#This Row],[Tr. 1 Mineral Acres]]+Table13534343[[#This Row],[Tr. 2 Mineral Acres]]+Table13534343[[#This Row],[Tr. 3 Mineral Acres]]+Table13534343[[#This Row],[Tr. 4 Mineral Acres]]+Table13534343[[#This Row],[Tr. 5 Mineral Acres]]+Table13534343[[#This Row],[Tr. 6 Mineral Acres]]+Table13534343[[#This Row],[Tr. 7 Mineral Acres]]</f>
        <v>0</v>
      </c>
      <c r="X32" s="92"/>
      <c r="Y32" s="87"/>
      <c r="Z32" s="87">
        <f>Table13534343[[#This Row],[Lease Roy.]]*Table13534343[[#This Row],[Unit Totals]]</f>
        <v>0</v>
      </c>
      <c r="AA32" s="80"/>
      <c r="AB32" s="80"/>
      <c r="AC32" s="122"/>
      <c r="AD32" s="77"/>
    </row>
    <row r="33" spans="1:30" ht="42.75" x14ac:dyDescent="0.45">
      <c r="A33" s="25" t="s">
        <v>43</v>
      </c>
      <c r="B33" s="83"/>
      <c r="C33" s="83"/>
      <c r="D33" s="83"/>
      <c r="E33" s="82"/>
      <c r="F33" s="30"/>
      <c r="G33" s="82"/>
      <c r="H33" s="82"/>
      <c r="I33" s="82">
        <v>16.709399999999999</v>
      </c>
      <c r="J33" s="82">
        <f>Table13534343[[#This Row],[Tr. 3 
Gross Acreage]]*H32</f>
        <v>2.0886749999999998</v>
      </c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>
        <f>Table13534343[[#This Row],[Tr. 1 Mineral Acres]]+Table13534343[[#This Row],[Tr. 2 Mineral Acres]]+Table13534343[[#This Row],[Tr. 3 Mineral Acres]]+Table13534343[[#This Row],[Tr. 4 Mineral Acres]]+Table13534343[[#This Row],[Tr. 5 Mineral Acres]]+Table13534343[[#This Row],[Tr. 6 Mineral Acres]]+Table13534343[[#This Row],[Tr. 7 Mineral Acres]]</f>
        <v>2.0886749999999998</v>
      </c>
      <c r="X33" s="82" t="s">
        <v>58</v>
      </c>
      <c r="Y33" s="87"/>
      <c r="Z33" s="87">
        <f>Table13534343[[#This Row],[Lease Roy.]]*Table13534343[[#This Row],[Unit Totals]]</f>
        <v>0</v>
      </c>
      <c r="AA33" s="80"/>
      <c r="AB33" s="80"/>
      <c r="AC33" s="124" t="s">
        <v>110</v>
      </c>
      <c r="AD33" s="77"/>
    </row>
    <row r="34" spans="1:30" ht="71.25" x14ac:dyDescent="0.45">
      <c r="A34" s="39" t="s">
        <v>177</v>
      </c>
      <c r="B34" s="83"/>
      <c r="C34" s="83"/>
      <c r="D34" s="83"/>
      <c r="E34" s="82"/>
      <c r="F34" s="30"/>
      <c r="G34" s="82"/>
      <c r="H34" s="82"/>
      <c r="I34" s="82">
        <v>5</v>
      </c>
      <c r="J34" s="82">
        <f>Table13534343[[#This Row],[Tr. 3 
Gross Acreage]]*H32</f>
        <v>0.625</v>
      </c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>
        <f>Table13534343[[#This Row],[Tr. 1 Mineral Acres]]+Table13534343[[#This Row],[Tr. 2 Mineral Acres]]+Table13534343[[#This Row],[Tr. 3 Mineral Acres]]+Table13534343[[#This Row],[Tr. 4 Mineral Acres]]+Table13534343[[#This Row],[Tr. 5 Mineral Acres]]+Table13534343[[#This Row],[Tr. 6 Mineral Acres]]+Table13534343[[#This Row],[Tr. 7 Mineral Acres]]</f>
        <v>0.625</v>
      </c>
      <c r="X34" s="92" t="s">
        <v>57</v>
      </c>
      <c r="Y34" s="87">
        <v>0.1875</v>
      </c>
      <c r="Z34" s="87">
        <f>Table13534343[[#This Row],[Lease Roy.]]*Table13534343[[#This Row],[Unit Totals]]</f>
        <v>0.1171875</v>
      </c>
      <c r="AA34" s="80"/>
      <c r="AB34" s="80"/>
      <c r="AC34" s="124" t="s">
        <v>111</v>
      </c>
      <c r="AD34" s="76">
        <v>100</v>
      </c>
    </row>
    <row r="35" spans="1:30" ht="61.05" customHeight="1" x14ac:dyDescent="0.45">
      <c r="A35" s="25" t="s">
        <v>45</v>
      </c>
      <c r="B35" s="83"/>
      <c r="C35" s="83"/>
      <c r="D35" s="83"/>
      <c r="E35" s="82"/>
      <c r="F35" s="30"/>
      <c r="G35" s="82"/>
      <c r="H35" s="82"/>
      <c r="I35" s="82">
        <v>5</v>
      </c>
      <c r="J35" s="82">
        <f>Table13534343[[#This Row],[Tr. 3 
Gross Acreage]]*H32</f>
        <v>0.625</v>
      </c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>
        <f>Table13534343[[#This Row],[Tr. 1 Mineral Acres]]+Table13534343[[#This Row],[Tr. 2 Mineral Acres]]+Table13534343[[#This Row],[Tr. 3 Mineral Acres]]+Table13534343[[#This Row],[Tr. 4 Mineral Acres]]+Table13534343[[#This Row],[Tr. 5 Mineral Acres]]+Table13534343[[#This Row],[Tr. 6 Mineral Acres]]+Table13534343[[#This Row],[Tr. 7 Mineral Acres]]</f>
        <v>0.625</v>
      </c>
      <c r="X35" s="82" t="s">
        <v>58</v>
      </c>
      <c r="Y35" s="87"/>
      <c r="Z35" s="87">
        <f>Table13534343[[#This Row],[Lease Roy.]]*Table13534343[[#This Row],[Unit Totals]]</f>
        <v>0</v>
      </c>
      <c r="AA35" s="38"/>
      <c r="AB35" s="38"/>
      <c r="AC35" s="124" t="s">
        <v>110</v>
      </c>
      <c r="AD35" s="77"/>
    </row>
    <row r="36" spans="1:30" x14ac:dyDescent="0.45">
      <c r="A36" s="65" t="s">
        <v>93</v>
      </c>
      <c r="B36" s="83"/>
      <c r="C36" s="83"/>
      <c r="D36" s="83"/>
      <c r="E36" s="91">
        <v>5.9523800000000002E-2</v>
      </c>
      <c r="F36" s="30"/>
      <c r="G36" s="82"/>
      <c r="H36" s="82"/>
      <c r="I36" s="82"/>
      <c r="J36" s="82"/>
      <c r="K36" s="82"/>
      <c r="L36" s="82"/>
      <c r="M36" s="82"/>
      <c r="N36" s="82"/>
      <c r="O36" s="83"/>
      <c r="P36" s="82"/>
      <c r="Q36" s="82"/>
      <c r="R36" s="82"/>
      <c r="S36" s="85"/>
      <c r="T36" s="82"/>
      <c r="U36" s="83"/>
      <c r="V36" s="82"/>
      <c r="W36" s="82"/>
      <c r="X36" s="82"/>
      <c r="Y36" s="87"/>
      <c r="Z36" s="87"/>
      <c r="AA36" s="38"/>
      <c r="AB36" s="38"/>
      <c r="AC36" s="122"/>
      <c r="AD36" s="77"/>
    </row>
    <row r="37" spans="1:30" ht="71.25" x14ac:dyDescent="0.45">
      <c r="A37" s="39" t="s">
        <v>176</v>
      </c>
      <c r="B37" s="83"/>
      <c r="C37" s="83"/>
      <c r="D37" s="83"/>
      <c r="E37" s="82"/>
      <c r="F37" s="30">
        <v>10.9</v>
      </c>
      <c r="G37" s="82">
        <f>Table13534343[[#This Row],[Tr. 2 
Gross Acreage]]*E$36</f>
        <v>0.64880942000000008</v>
      </c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>
        <f>Table13534343[[#This Row],[Tr. 1 Mineral Acres]]+Table13534343[[#This Row],[Tr. 2 Mineral Acres]]+Table13534343[[#This Row],[Tr. 3 Mineral Acres]]+Table13534343[[#This Row],[Tr. 4 Mineral Acres]]+Table13534343[[#This Row],[Tr. 5 Mineral Acres]]+Table13534343[[#This Row],[Tr. 6 Mineral Acres]]+Table13534343[[#This Row],[Tr. 7 Mineral Acres]]</f>
        <v>0.64880942000000008</v>
      </c>
      <c r="X37" s="92" t="s">
        <v>57</v>
      </c>
      <c r="Y37" s="93">
        <f>1/5</f>
        <v>0.2</v>
      </c>
      <c r="Z37" s="87">
        <f>Table13534343[[#This Row],[Lease Roy.]]*Table13534343[[#This Row],[Unit Totals]]</f>
        <v>0.12976188400000002</v>
      </c>
      <c r="AA37" s="38"/>
      <c r="AB37" s="38"/>
      <c r="AC37" s="124" t="s">
        <v>112</v>
      </c>
      <c r="AD37" s="76">
        <v>81.101177500000006</v>
      </c>
    </row>
    <row r="38" spans="1:30" ht="42.75" x14ac:dyDescent="0.45">
      <c r="A38" s="39" t="s">
        <v>78</v>
      </c>
      <c r="B38" s="83"/>
      <c r="C38" s="83"/>
      <c r="D38" s="83"/>
      <c r="E38" s="82"/>
      <c r="F38" s="30">
        <v>13.6</v>
      </c>
      <c r="G38" s="82">
        <f>Table13534343[[#This Row],[Tr. 2 
Gross Acreage]]*E$36</f>
        <v>0.80952367999999997</v>
      </c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>
        <f>Table13534343[[#This Row],[Tr. 1 Mineral Acres]]+Table13534343[[#This Row],[Tr. 2 Mineral Acres]]+Table13534343[[#This Row],[Tr. 3 Mineral Acres]]+Table13534343[[#This Row],[Tr. 4 Mineral Acres]]+Table13534343[[#This Row],[Tr. 5 Mineral Acres]]+Table13534343[[#This Row],[Tr. 6 Mineral Acres]]+Table13534343[[#This Row],[Tr. 7 Mineral Acres]]</f>
        <v>0.80952367999999997</v>
      </c>
      <c r="X38" s="187" t="s">
        <v>58</v>
      </c>
      <c r="Y38" s="93"/>
      <c r="Z38" s="87">
        <f>Table13534343[[#This Row],[Lease Roy.]]*Table13534343[[#This Row],[Unit Totals]]</f>
        <v>0</v>
      </c>
      <c r="AA38" s="38"/>
      <c r="AB38" s="38"/>
      <c r="AC38" s="124" t="s">
        <v>113</v>
      </c>
      <c r="AD38" s="77"/>
    </row>
    <row r="39" spans="1:30" ht="71.25" x14ac:dyDescent="0.45">
      <c r="A39" s="39" t="s">
        <v>175</v>
      </c>
      <c r="B39" s="83"/>
      <c r="C39" s="83"/>
      <c r="D39" s="83"/>
      <c r="E39" s="82"/>
      <c r="F39" s="30">
        <v>10.5</v>
      </c>
      <c r="G39" s="82">
        <f>Table13534343[[#This Row],[Tr. 2 
Gross Acreage]]*E$36</f>
        <v>0.62499990000000005</v>
      </c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>
        <f>Table13534343[[#This Row],[Tr. 1 Mineral Acres]]+Table13534343[[#This Row],[Tr. 2 Mineral Acres]]+Table13534343[[#This Row],[Tr. 3 Mineral Acres]]+Table13534343[[#This Row],[Tr. 4 Mineral Acres]]+Table13534343[[#This Row],[Tr. 5 Mineral Acres]]+Table13534343[[#This Row],[Tr. 6 Mineral Acres]]+Table13534343[[#This Row],[Tr. 7 Mineral Acres]]</f>
        <v>0.62499990000000005</v>
      </c>
      <c r="X39" s="92" t="s">
        <v>57</v>
      </c>
      <c r="Y39" s="93">
        <v>0.2</v>
      </c>
      <c r="Z39" s="87">
        <f>Table13534343[[#This Row],[Lease Roy.]]*Table13534343[[#This Row],[Unit Totals]]</f>
        <v>0.12499998000000001</v>
      </c>
      <c r="AA39" s="38"/>
      <c r="AB39" s="38"/>
      <c r="AC39" s="124" t="s">
        <v>114</v>
      </c>
      <c r="AD39" s="76">
        <v>78.124987500000003</v>
      </c>
    </row>
    <row r="40" spans="1:30" ht="57" x14ac:dyDescent="0.45">
      <c r="A40" s="39" t="s">
        <v>50</v>
      </c>
      <c r="B40" s="83"/>
      <c r="C40" s="83"/>
      <c r="D40" s="83"/>
      <c r="E40" s="82"/>
      <c r="F40" s="30">
        <v>2</v>
      </c>
      <c r="G40" s="82">
        <f>Table13534343[[#This Row],[Tr. 2 
Gross Acreage]]*E$36</f>
        <v>0.1190476</v>
      </c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>
        <f>Table13534343[[#This Row],[Tr. 1 Mineral Acres]]+Table13534343[[#This Row],[Tr. 2 Mineral Acres]]+Table13534343[[#This Row],[Tr. 3 Mineral Acres]]+Table13534343[[#This Row],[Tr. 4 Mineral Acres]]+Table13534343[[#This Row],[Tr. 5 Mineral Acres]]+Table13534343[[#This Row],[Tr. 6 Mineral Acres]]+Table13534343[[#This Row],[Tr. 7 Mineral Acres]]</f>
        <v>0.1190476</v>
      </c>
      <c r="X40" s="187" t="s">
        <v>58</v>
      </c>
      <c r="Y40" s="93"/>
      <c r="Z40" s="87">
        <f>Table13534343[[#This Row],[Lease Roy.]]*Table13534343[[#This Row],[Unit Totals]]</f>
        <v>0</v>
      </c>
      <c r="AA40" s="38"/>
      <c r="AB40" s="38"/>
      <c r="AC40" s="124" t="s">
        <v>115</v>
      </c>
      <c r="AD40" s="77"/>
    </row>
    <row r="41" spans="1:30" ht="71.25" x14ac:dyDescent="0.45">
      <c r="A41" s="190" t="s">
        <v>182</v>
      </c>
      <c r="B41" s="83"/>
      <c r="C41" s="83"/>
      <c r="D41" s="83"/>
      <c r="E41" s="82"/>
      <c r="F41" s="30">
        <v>2</v>
      </c>
      <c r="G41" s="82">
        <f>Table13534343[[#This Row],[Tr. 2 
Gross Acreage]]*E$36</f>
        <v>0.1190476</v>
      </c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>
        <f>Table13534343[[#This Row],[Tr. 1 Mineral Acres]]+Table13534343[[#This Row],[Tr. 2 Mineral Acres]]+Table13534343[[#This Row],[Tr. 3 Mineral Acres]]+Table13534343[[#This Row],[Tr. 4 Mineral Acres]]+Table13534343[[#This Row],[Tr. 5 Mineral Acres]]+Table13534343[[#This Row],[Tr. 6 Mineral Acres]]+Table13534343[[#This Row],[Tr. 7 Mineral Acres]]</f>
        <v>0.1190476</v>
      </c>
      <c r="X41" s="92" t="s">
        <v>57</v>
      </c>
      <c r="Y41" s="93">
        <v>0.2</v>
      </c>
      <c r="Z41" s="87">
        <f>Table13534343[[#This Row],[Lease Roy.]]*Table13534343[[#This Row],[Unit Totals]]</f>
        <v>2.3809520000000001E-2</v>
      </c>
      <c r="AA41" s="38"/>
      <c r="AB41" s="38"/>
      <c r="AC41" s="124" t="s">
        <v>116</v>
      </c>
      <c r="AD41" s="76">
        <v>14.88095</v>
      </c>
    </row>
    <row r="42" spans="1:30" ht="71.25" x14ac:dyDescent="0.45">
      <c r="A42" s="39" t="s">
        <v>179</v>
      </c>
      <c r="B42" s="83"/>
      <c r="C42" s="83"/>
      <c r="D42" s="83"/>
      <c r="E42" s="82"/>
      <c r="F42" s="30">
        <v>4.8</v>
      </c>
      <c r="G42" s="82">
        <f>Table13534343[[#This Row],[Tr. 2 
Gross Acreage]]*E$36</f>
        <v>0.28571424000000001</v>
      </c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>
        <f>Table13534343[[#This Row],[Tr. 1 Mineral Acres]]+Table13534343[[#This Row],[Tr. 2 Mineral Acres]]+Table13534343[[#This Row],[Tr. 3 Mineral Acres]]+Table13534343[[#This Row],[Tr. 4 Mineral Acres]]+Table13534343[[#This Row],[Tr. 5 Mineral Acres]]+Table13534343[[#This Row],[Tr. 6 Mineral Acres]]+Table13534343[[#This Row],[Tr. 7 Mineral Acres]]</f>
        <v>0.28571424000000001</v>
      </c>
      <c r="X42" s="92" t="s">
        <v>57</v>
      </c>
      <c r="Y42" s="93">
        <v>0.2</v>
      </c>
      <c r="Z42" s="87">
        <f>Table13534343[[#This Row],[Lease Roy.]]*Table13534343[[#This Row],[Unit Totals]]</f>
        <v>5.7142848000000003E-2</v>
      </c>
      <c r="AA42" s="38"/>
      <c r="AB42" s="38"/>
      <c r="AC42" s="124" t="s">
        <v>117</v>
      </c>
      <c r="AD42" s="76">
        <v>35.714280000000002</v>
      </c>
    </row>
    <row r="43" spans="1:30" ht="57" x14ac:dyDescent="0.45">
      <c r="A43" s="39" t="s">
        <v>172</v>
      </c>
      <c r="B43" s="83"/>
      <c r="C43" s="83"/>
      <c r="D43" s="83"/>
      <c r="E43" s="82"/>
      <c r="F43" s="30">
        <v>2</v>
      </c>
      <c r="G43" s="82">
        <f>Table13534343[[#This Row],[Tr. 2 
Gross Acreage]]*E$36</f>
        <v>0.1190476</v>
      </c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>
        <f>Table13534343[[#This Row],[Tr. 1 Mineral Acres]]+Table13534343[[#This Row],[Tr. 2 Mineral Acres]]+Table13534343[[#This Row],[Tr. 3 Mineral Acres]]+Table13534343[[#This Row],[Tr. 4 Mineral Acres]]+Table13534343[[#This Row],[Tr. 5 Mineral Acres]]+Table13534343[[#This Row],[Tr. 6 Mineral Acres]]+Table13534343[[#This Row],[Tr. 7 Mineral Acres]]</f>
        <v>0.1190476</v>
      </c>
      <c r="X43" s="92" t="s">
        <v>57</v>
      </c>
      <c r="Y43" s="93">
        <v>0.2</v>
      </c>
      <c r="Z43" s="87">
        <f>Table13534343[[#This Row],[Lease Roy.]]*Table13534343[[#This Row],[Unit Totals]]</f>
        <v>2.3809520000000001E-2</v>
      </c>
      <c r="AA43" s="38"/>
      <c r="AB43" s="38"/>
      <c r="AC43" s="124" t="s">
        <v>118</v>
      </c>
      <c r="AD43" s="76">
        <v>14.88095</v>
      </c>
    </row>
    <row r="44" spans="1:30" ht="57" x14ac:dyDescent="0.45">
      <c r="A44" s="25" t="s">
        <v>76</v>
      </c>
      <c r="B44" s="83"/>
      <c r="C44" s="83"/>
      <c r="D44" s="83"/>
      <c r="E44" s="82"/>
      <c r="F44" s="30">
        <v>60.433</v>
      </c>
      <c r="G44" s="82">
        <f>Table13534343[[#This Row],[Tr. 2 
Gross Acreage]]*E$36</f>
        <v>3.5972018054000001</v>
      </c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>
        <f>Table13534343[[#This Row],[Tr. 1 Mineral Acres]]+Table13534343[[#This Row],[Tr. 2 Mineral Acres]]+Table13534343[[#This Row],[Tr. 3 Mineral Acres]]+Table13534343[[#This Row],[Tr. 4 Mineral Acres]]+Table13534343[[#This Row],[Tr. 5 Mineral Acres]]+Table13534343[[#This Row],[Tr. 6 Mineral Acres]]+Table13534343[[#This Row],[Tr. 7 Mineral Acres]]</f>
        <v>3.5972018054000001</v>
      </c>
      <c r="X44" s="187" t="s">
        <v>58</v>
      </c>
      <c r="Y44" s="87"/>
      <c r="Z44" s="87">
        <f>Table13534343[[#This Row],[Lease Roy.]]*Table13534343[[#This Row],[Unit Totals]]</f>
        <v>0</v>
      </c>
      <c r="AA44" s="38" t="s">
        <v>89</v>
      </c>
      <c r="AB44" s="38"/>
      <c r="AC44" s="124" t="s">
        <v>119</v>
      </c>
      <c r="AD44" s="77"/>
    </row>
    <row r="45" spans="1:30" x14ac:dyDescent="0.45">
      <c r="A45" s="100" t="s">
        <v>106</v>
      </c>
      <c r="B45" s="101"/>
      <c r="C45" s="101"/>
      <c r="D45" s="101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87"/>
      <c r="Z45" s="95"/>
      <c r="AA45" s="95">
        <f>185.434*0.015625</f>
        <v>2.89740625</v>
      </c>
      <c r="AB45" s="87"/>
      <c r="AC45" s="103" t="s">
        <v>107</v>
      </c>
      <c r="AD45" s="77"/>
    </row>
    <row r="46" spans="1:30" x14ac:dyDescent="0.45">
      <c r="A46" s="12" t="s">
        <v>54</v>
      </c>
      <c r="B46" s="1">
        <f>SUM(B2:B45)</f>
        <v>1</v>
      </c>
      <c r="C46" s="13"/>
      <c r="D46" s="2">
        <f>SUBTOTAL(109,Table13534343[Tr. 1 Mineral Acres])</f>
        <v>55.501600000000003</v>
      </c>
      <c r="E46" s="3">
        <f>SUBTOTAL(109,Table13534343[Tr. 2
Mineral Interest])</f>
        <v>0.99999999999999956</v>
      </c>
      <c r="F46" s="4"/>
      <c r="G46" s="5">
        <f>SUBTOTAL(109,Table13534343[Tr. 2 Mineral Acres])</f>
        <v>106.19255952340008</v>
      </c>
      <c r="H46" s="6">
        <f>SUBTOTAL(109,Table13534343[Tr.3 Mineral Interest])</f>
        <v>1.0000000099999995</v>
      </c>
      <c r="I46" s="7"/>
      <c r="J46" s="7">
        <f>SUM(J2:J45)</f>
        <v>28.033800282230001</v>
      </c>
      <c r="K46" s="8">
        <f>SUBTOTAL(109,Table13534343[Tr. 4 Mineral Interest])</f>
        <v>1</v>
      </c>
      <c r="L46" s="4"/>
      <c r="M46" s="4">
        <f>SUM(M2:M45)</f>
        <v>14.64</v>
      </c>
      <c r="N46" s="1">
        <f>SUM(N2:N45)</f>
        <v>1.0000000099999995</v>
      </c>
      <c r="O46" s="4"/>
      <c r="P46" s="4">
        <f>SUM(P2:P45)</f>
        <v>8.4400000844000012</v>
      </c>
      <c r="Q46" s="1">
        <f>SUM(Q2:Q45)</f>
        <v>1.0000000099999997</v>
      </c>
      <c r="R46" s="7"/>
      <c r="S46" s="7">
        <f>SUM(S2:S45)</f>
        <v>42.581000425809997</v>
      </c>
      <c r="T46" s="1">
        <f>SUM(T2:T45)</f>
        <v>1</v>
      </c>
      <c r="U46" s="7"/>
      <c r="V46" s="7">
        <f>SUM(V2:V45)</f>
        <v>20.545999999999999</v>
      </c>
      <c r="W46" s="4">
        <f>SUM(W2:W45)</f>
        <v>275.9349603158401</v>
      </c>
      <c r="X46" s="9">
        <f>240.2823/276.12</f>
        <v>0.87020969143850491</v>
      </c>
      <c r="Y46" s="10"/>
      <c r="Z46" s="94">
        <f>SUM(Z2:Z45)</f>
        <v>43.49965424089288</v>
      </c>
      <c r="AA46" s="11"/>
      <c r="AB46" s="11">
        <f>SUBTOTAL(109,Table13534343[NRI AC  NPR 2])</f>
        <v>3.6082248300317588E-16</v>
      </c>
      <c r="AC46" s="189">
        <f>1-Table13534343[[#Totals],[NRI AC.]]/276.12</f>
        <v>0.84246105229286949</v>
      </c>
      <c r="AD46" s="78">
        <f>SUBTOTAL(109,Table13534343[Bonus Paid])</f>
        <v>44813.507364172387</v>
      </c>
    </row>
    <row r="48" spans="1:30" x14ac:dyDescent="0.45">
      <c r="W48" s="59"/>
    </row>
  </sheetData>
  <pageMargins left="0.25" right="0.25" top="0.75" bottom="0.25" header="0.3" footer="0.3"/>
  <pageSetup paperSize="5" scale="52" fitToHeight="0" orientation="landscape" verticalDpi="1200" r:id="rId1"/>
  <headerFooter>
    <oddHeader>&amp;L&amp;"-,Bold"&amp;12 3/06/2026&amp;C&amp;"-,Bold"&amp;14Ownership and Lease Status
ARCADIA OPERATING, LLC - Dr. ELMORE #1 276.12 ACRE UNIT</oddHeader>
  </headerFooter>
  <ignoredErrors>
    <ignoredError sqref="W3:W5" calculatedColumn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44681-43F7-4583-8F0E-DB3884BA34BF}">
  <sheetPr>
    <pageSetUpPr fitToPage="1"/>
  </sheetPr>
  <dimension ref="A1:Y54"/>
  <sheetViews>
    <sheetView topLeftCell="C13" zoomScaleNormal="100" workbookViewId="0">
      <selection activeCell="Y38" sqref="Y38"/>
    </sheetView>
  </sheetViews>
  <sheetFormatPr defaultColWidth="9" defaultRowHeight="13.15" x14ac:dyDescent="0.4"/>
  <cols>
    <col min="1" max="1" width="37.796875" style="135" customWidth="1"/>
    <col min="2" max="2" width="8.46484375" style="135" customWidth="1"/>
    <col min="3" max="3" width="8.46484375" style="177" customWidth="1"/>
    <col min="4" max="5" width="8.46484375" style="135" customWidth="1"/>
    <col min="6" max="6" width="8.46484375" style="178" customWidth="1"/>
    <col min="7" max="8" width="8.46484375" style="135" customWidth="1"/>
    <col min="9" max="9" width="8.46484375" style="179" customWidth="1"/>
    <col min="10" max="11" width="8.46484375" style="135" customWidth="1"/>
    <col min="12" max="12" width="8.46484375" style="178" customWidth="1"/>
    <col min="13" max="14" width="8.46484375" style="135" customWidth="1"/>
    <col min="15" max="15" width="8.46484375" style="178" customWidth="1"/>
    <col min="16" max="17" width="8.46484375" style="135" customWidth="1"/>
    <col min="18" max="18" width="8.46484375" style="179" customWidth="1"/>
    <col min="19" max="20" width="8.46484375" style="135" customWidth="1"/>
    <col min="21" max="21" width="8.46484375" style="179" customWidth="1"/>
    <col min="22" max="24" width="8.46484375" style="135" customWidth="1"/>
    <col min="25" max="25" width="28.59765625" style="180" customWidth="1"/>
    <col min="26" max="16384" width="9" style="135"/>
  </cols>
  <sheetData>
    <row r="1" spans="1:25" ht="39.4" x14ac:dyDescent="0.4">
      <c r="A1" s="125" t="s">
        <v>120</v>
      </c>
      <c r="B1" s="126" t="s">
        <v>121</v>
      </c>
      <c r="C1" s="127" t="s">
        <v>2</v>
      </c>
      <c r="D1" s="126" t="s">
        <v>122</v>
      </c>
      <c r="E1" s="128" t="s">
        <v>123</v>
      </c>
      <c r="F1" s="129" t="s">
        <v>5</v>
      </c>
      <c r="G1" s="128" t="s">
        <v>124</v>
      </c>
      <c r="H1" s="128" t="s">
        <v>125</v>
      </c>
      <c r="I1" s="130" t="s">
        <v>7</v>
      </c>
      <c r="J1" s="131" t="s">
        <v>126</v>
      </c>
      <c r="K1" s="128" t="s">
        <v>127</v>
      </c>
      <c r="L1" s="132" t="s">
        <v>9</v>
      </c>
      <c r="M1" s="131" t="s">
        <v>128</v>
      </c>
      <c r="N1" s="128" t="s">
        <v>129</v>
      </c>
      <c r="O1" s="132" t="s">
        <v>11</v>
      </c>
      <c r="P1" s="131" t="s">
        <v>130</v>
      </c>
      <c r="Q1" s="128" t="s">
        <v>131</v>
      </c>
      <c r="R1" s="130" t="s">
        <v>13</v>
      </c>
      <c r="S1" s="131" t="s">
        <v>132</v>
      </c>
      <c r="T1" s="128" t="s">
        <v>133</v>
      </c>
      <c r="U1" s="130" t="s">
        <v>15</v>
      </c>
      <c r="V1" s="131" t="s">
        <v>134</v>
      </c>
      <c r="W1" s="131" t="s">
        <v>55</v>
      </c>
      <c r="X1" s="133" t="s">
        <v>75</v>
      </c>
      <c r="Y1" s="134" t="s">
        <v>18</v>
      </c>
    </row>
    <row r="2" spans="1:25" s="147" customFormat="1" ht="18" x14ac:dyDescent="0.4">
      <c r="A2" s="136" t="s">
        <v>135</v>
      </c>
      <c r="B2" s="137"/>
      <c r="C2" s="138"/>
      <c r="D2" s="137"/>
      <c r="E2" s="139"/>
      <c r="F2" s="140"/>
      <c r="G2" s="139"/>
      <c r="H2" s="139"/>
      <c r="I2" s="141"/>
      <c r="J2" s="139"/>
      <c r="K2" s="139"/>
      <c r="L2" s="140"/>
      <c r="M2" s="139"/>
      <c r="N2" s="139"/>
      <c r="O2" s="142"/>
      <c r="P2" s="139"/>
      <c r="Q2" s="139"/>
      <c r="R2" s="143"/>
      <c r="S2" s="144"/>
      <c r="T2" s="139"/>
      <c r="U2" s="145"/>
      <c r="V2" s="139"/>
      <c r="W2" s="139"/>
      <c r="X2" s="146"/>
      <c r="Y2" s="144"/>
    </row>
    <row r="3" spans="1:25" ht="14.25" x14ac:dyDescent="0.4">
      <c r="A3" s="148" t="s">
        <v>136</v>
      </c>
      <c r="B3" s="149"/>
      <c r="C3" s="149"/>
      <c r="D3" s="149"/>
      <c r="E3" s="150">
        <v>1.5625000000000001E-3</v>
      </c>
      <c r="F3" s="182">
        <v>106.19</v>
      </c>
      <c r="G3" s="151">
        <f>Table135343434[[#This Row],[Tr. 2 
Gross Acreage]]*Table135343434[[#This Row],[Tr. 2
NPR Interest]]</f>
        <v>0.165921875</v>
      </c>
      <c r="H3" s="150">
        <v>1.5625000000000001E-3</v>
      </c>
      <c r="I3" s="151">
        <v>28.222999999999999</v>
      </c>
      <c r="J3" s="151">
        <f>Table135343434[[#This Row],[Tr. 3 Gross Acreage]]*Table135343434[[#This Row],[Tract 3 NPR Interest]]</f>
        <v>4.4098437500000004E-2</v>
      </c>
      <c r="K3" s="151"/>
      <c r="L3" s="151"/>
      <c r="M3" s="151"/>
      <c r="N3" s="150">
        <v>1.5625000000000001E-3</v>
      </c>
      <c r="O3" s="149">
        <v>8.44</v>
      </c>
      <c r="P3" s="151">
        <f>Table135343434[[#This Row],[Tr. 5 Gross Acreage]]*Table135343434[[#This Row],[Tract 5 NPR Interest]]</f>
        <v>1.31875E-2</v>
      </c>
      <c r="Q3" s="150">
        <v>1.5625000000000001E-3</v>
      </c>
      <c r="R3" s="152">
        <v>42.581000000000003</v>
      </c>
      <c r="S3" s="151">
        <f>R3*Q3</f>
        <v>6.653281250000001E-2</v>
      </c>
      <c r="T3" s="151"/>
      <c r="U3" s="151"/>
      <c r="V3" s="151"/>
      <c r="W3" s="151">
        <f>Table135343434[[#This Row],[Tr. 2 
NPR Acres]]+Table135343434[[#This Row],[Tr. 3 
NPR Acres]]+Table135343434[[#This Row],[Tr. 5 
NPR Acres]]+Table135343434[[#This Row],[Tr. 6 NPR Acres]]</f>
        <v>0.28974062499999997</v>
      </c>
      <c r="X3" s="153">
        <f>Table135343434[[#This Row],[Unit Totals]]*Table135343434[[#This Row],[Tr. 2
NPR Interest]]</f>
        <v>4.5271972656249997E-4</v>
      </c>
      <c r="Y3" s="154"/>
    </row>
    <row r="4" spans="1:25" ht="14.25" x14ac:dyDescent="0.4">
      <c r="A4" s="148" t="s">
        <v>137</v>
      </c>
      <c r="B4" s="149"/>
      <c r="C4" s="149"/>
      <c r="D4" s="149"/>
      <c r="E4" s="150">
        <v>3.6562999999999998E-4</v>
      </c>
      <c r="F4" s="182">
        <v>106.19</v>
      </c>
      <c r="G4" s="151">
        <f>Table135343434[[#This Row],[Tr. 2 
Gross Acreage]]*Table135343434[[#This Row],[Tr. 2
NPR Interest]]</f>
        <v>3.8826249699999996E-2</v>
      </c>
      <c r="H4" s="150">
        <v>3.6562999999999998E-4</v>
      </c>
      <c r="I4" s="151">
        <v>28.222999999999999</v>
      </c>
      <c r="J4" s="151">
        <f>Table135343434[[#This Row],[Tr. 3 Gross Acreage]]*Table135343434[[#This Row],[Tract 3 NPR Interest]]</f>
        <v>1.0319175489999999E-2</v>
      </c>
      <c r="K4" s="151"/>
      <c r="L4" s="151"/>
      <c r="M4" s="151"/>
      <c r="N4" s="150">
        <v>3.6562999999999998E-4</v>
      </c>
      <c r="O4" s="149">
        <v>8.44</v>
      </c>
      <c r="P4" s="151">
        <f>Table135343434[[#This Row],[Tr. 5 Gross Acreage]]*Table135343434[[#This Row],[Tract 5 NPR Interest]]</f>
        <v>3.0859171999999997E-3</v>
      </c>
      <c r="Q4" s="150">
        <v>3.6562999999999998E-4</v>
      </c>
      <c r="R4" s="152">
        <v>42.581000000000003</v>
      </c>
      <c r="S4" s="151">
        <f t="shared" ref="S4:S24" si="0">R4*Q4</f>
        <v>1.556889103E-2</v>
      </c>
      <c r="T4" s="151"/>
      <c r="U4" s="151"/>
      <c r="V4" s="151"/>
      <c r="W4" s="151">
        <f>Table135343434[[#This Row],[Tr. 2 
NPR Acres]]+Table135343434[[#This Row],[Tr. 3 
NPR Acres]]+Table135343434[[#This Row],[Tr. 5 
NPR Acres]]+Table135343434[[#This Row],[Tr. 6 NPR Acres]]</f>
        <v>6.7800233419999995E-2</v>
      </c>
      <c r="X4" s="153">
        <f>Table135343434[[#This Row],[Unit Totals]]*Table135343434[[#This Row],[Tr. 2
NPR Interest]]</f>
        <v>2.4789799345354596E-5</v>
      </c>
      <c r="Y4" s="154"/>
    </row>
    <row r="5" spans="1:25" ht="28.5" x14ac:dyDescent="0.4">
      <c r="A5" s="148" t="s">
        <v>138</v>
      </c>
      <c r="B5" s="149"/>
      <c r="C5" s="149"/>
      <c r="D5" s="149"/>
      <c r="E5" s="150">
        <v>3.6562999999999998E-4</v>
      </c>
      <c r="F5" s="182">
        <v>106.19</v>
      </c>
      <c r="G5" s="151">
        <f>Table135343434[[#This Row],[Tr. 2 
Gross Acreage]]*Table135343434[[#This Row],[Tr. 2
NPR Interest]]</f>
        <v>3.8826249699999996E-2</v>
      </c>
      <c r="H5" s="150">
        <v>3.6562999999999998E-4</v>
      </c>
      <c r="I5" s="151">
        <v>28.222999999999999</v>
      </c>
      <c r="J5" s="151">
        <f>Table135343434[[#This Row],[Tr. 3 Gross Acreage]]*Table135343434[[#This Row],[Tract 3 NPR Interest]]</f>
        <v>1.0319175489999999E-2</v>
      </c>
      <c r="K5" s="151"/>
      <c r="L5" s="151"/>
      <c r="M5" s="151"/>
      <c r="N5" s="150">
        <v>3.6562999999999998E-4</v>
      </c>
      <c r="O5" s="149">
        <v>8.44</v>
      </c>
      <c r="P5" s="151">
        <f>Table135343434[[#This Row],[Tr. 5 Gross Acreage]]*Table135343434[[#This Row],[Tract 5 NPR Interest]]</f>
        <v>3.0859171999999997E-3</v>
      </c>
      <c r="Q5" s="150">
        <v>3.6562999999999998E-4</v>
      </c>
      <c r="R5" s="152">
        <v>42.581000000000003</v>
      </c>
      <c r="S5" s="151">
        <f t="shared" si="0"/>
        <v>1.556889103E-2</v>
      </c>
      <c r="T5" s="151"/>
      <c r="U5" s="151"/>
      <c r="V5" s="151"/>
      <c r="W5" s="151">
        <f>Table135343434[[#This Row],[Tr. 2 
NPR Acres]]+Table135343434[[#This Row],[Tr. 3 
NPR Acres]]+Table135343434[[#This Row],[Tr. 5 
NPR Acres]]+Table135343434[[#This Row],[Tr. 6 NPR Acres]]</f>
        <v>6.7800233419999995E-2</v>
      </c>
      <c r="X5" s="153">
        <f>Table135343434[[#This Row],[Unit Totals]]*Table135343434[[#This Row],[Tr. 2
NPR Interest]]</f>
        <v>2.4789799345354596E-5</v>
      </c>
      <c r="Y5" s="154"/>
    </row>
    <row r="6" spans="1:25" ht="14.25" x14ac:dyDescent="0.4">
      <c r="A6" s="148" t="s">
        <v>139</v>
      </c>
      <c r="B6" s="149"/>
      <c r="C6" s="149"/>
      <c r="D6" s="149"/>
      <c r="E6" s="150">
        <v>3.6562999999999998E-4</v>
      </c>
      <c r="F6" s="182">
        <v>106.19</v>
      </c>
      <c r="G6" s="151">
        <f>Table135343434[[#This Row],[Tr. 2 
Gross Acreage]]*Table135343434[[#This Row],[Tr. 2
NPR Interest]]</f>
        <v>3.8826249699999996E-2</v>
      </c>
      <c r="H6" s="150">
        <v>3.6562999999999998E-4</v>
      </c>
      <c r="I6" s="151">
        <v>28.222999999999999</v>
      </c>
      <c r="J6" s="151">
        <f>Table135343434[[#This Row],[Tr. 3 Gross Acreage]]*Table135343434[[#This Row],[Tract 3 NPR Interest]]</f>
        <v>1.0319175489999999E-2</v>
      </c>
      <c r="K6" s="151"/>
      <c r="L6" s="151"/>
      <c r="M6" s="151"/>
      <c r="N6" s="150">
        <v>3.6562999999999998E-4</v>
      </c>
      <c r="O6" s="149">
        <v>8.44</v>
      </c>
      <c r="P6" s="151">
        <f>Table135343434[[#This Row],[Tr. 5 Gross Acreage]]*Table135343434[[#This Row],[Tract 5 NPR Interest]]</f>
        <v>3.0859171999999997E-3</v>
      </c>
      <c r="Q6" s="150">
        <v>3.6562999999999998E-4</v>
      </c>
      <c r="R6" s="152">
        <v>42.581000000000003</v>
      </c>
      <c r="S6" s="151">
        <f t="shared" si="0"/>
        <v>1.556889103E-2</v>
      </c>
      <c r="T6" s="151"/>
      <c r="U6" s="151"/>
      <c r="V6" s="151"/>
      <c r="W6" s="151">
        <f>Table135343434[[#This Row],[Tr. 2 
NPR Acres]]+Table135343434[[#This Row],[Tr. 3 
NPR Acres]]+Table135343434[[#This Row],[Tr. 5 
NPR Acres]]+Table135343434[[#This Row],[Tr. 6 NPR Acres]]</f>
        <v>6.7800233419999995E-2</v>
      </c>
      <c r="X6" s="153">
        <f>Table135343434[[#This Row],[Unit Totals]]*Table135343434[[#This Row],[Tr. 2
NPR Interest]]</f>
        <v>2.4789799345354596E-5</v>
      </c>
      <c r="Y6" s="154"/>
    </row>
    <row r="7" spans="1:25" ht="14.25" x14ac:dyDescent="0.4">
      <c r="A7" s="148" t="s">
        <v>140</v>
      </c>
      <c r="B7" s="149"/>
      <c r="C7" s="149"/>
      <c r="D7" s="149"/>
      <c r="E7" s="150">
        <v>3.6562999999999998E-4</v>
      </c>
      <c r="F7" s="182">
        <v>106.19</v>
      </c>
      <c r="G7" s="151">
        <f>Table135343434[[#This Row],[Tr. 2 
Gross Acreage]]*Table135343434[[#This Row],[Tr. 2
NPR Interest]]</f>
        <v>3.8826249699999996E-2</v>
      </c>
      <c r="H7" s="150">
        <v>3.6562999999999998E-4</v>
      </c>
      <c r="I7" s="151">
        <v>28.222999999999999</v>
      </c>
      <c r="J7" s="151">
        <f>Table135343434[[#This Row],[Tr. 3 Gross Acreage]]*Table135343434[[#This Row],[Tract 3 NPR Interest]]</f>
        <v>1.0319175489999999E-2</v>
      </c>
      <c r="K7" s="151"/>
      <c r="L7" s="151"/>
      <c r="M7" s="151"/>
      <c r="N7" s="150">
        <v>3.6562999999999998E-4</v>
      </c>
      <c r="O7" s="149">
        <v>8.44</v>
      </c>
      <c r="P7" s="151">
        <f>Table135343434[[#This Row],[Tr. 5 Gross Acreage]]*Table135343434[[#This Row],[Tract 5 NPR Interest]]</f>
        <v>3.0859171999999997E-3</v>
      </c>
      <c r="Q7" s="150">
        <v>3.6562999999999998E-4</v>
      </c>
      <c r="R7" s="152">
        <v>42.581000000000003</v>
      </c>
      <c r="S7" s="151">
        <f t="shared" si="0"/>
        <v>1.556889103E-2</v>
      </c>
      <c r="T7" s="151"/>
      <c r="U7" s="151"/>
      <c r="V7" s="151"/>
      <c r="W7" s="151">
        <f>Table135343434[[#This Row],[Tr. 2 
NPR Acres]]+Table135343434[[#This Row],[Tr. 3 
NPR Acres]]+Table135343434[[#This Row],[Tr. 5 
NPR Acres]]+Table135343434[[#This Row],[Tr. 6 NPR Acres]]</f>
        <v>6.7800233419999995E-2</v>
      </c>
      <c r="X7" s="153">
        <f>Table135343434[[#This Row],[Unit Totals]]*Table135343434[[#This Row],[Tr. 2
NPR Interest]]</f>
        <v>2.4789799345354596E-5</v>
      </c>
      <c r="Y7" s="154"/>
    </row>
    <row r="8" spans="1:25" ht="14.25" x14ac:dyDescent="0.4">
      <c r="A8" s="148" t="s">
        <v>141</v>
      </c>
      <c r="B8" s="149"/>
      <c r="C8" s="149"/>
      <c r="D8" s="149"/>
      <c r="E8" s="150">
        <v>2.19375E-3</v>
      </c>
      <c r="F8" s="182">
        <v>106.19</v>
      </c>
      <c r="G8" s="151">
        <f>Table135343434[[#This Row],[Tr. 2 
Gross Acreage]]*Table135343434[[#This Row],[Tr. 2
NPR Interest]]</f>
        <v>0.23295431249999998</v>
      </c>
      <c r="H8" s="150">
        <v>2.19375E-3</v>
      </c>
      <c r="I8" s="151">
        <v>28.222999999999999</v>
      </c>
      <c r="J8" s="151">
        <f>Table135343434[[#This Row],[Tr. 3 Gross Acreage]]*Table135343434[[#This Row],[Tract 3 NPR Interest]]</f>
        <v>6.1914206249999999E-2</v>
      </c>
      <c r="K8" s="151"/>
      <c r="L8" s="151"/>
      <c r="M8" s="151"/>
      <c r="N8" s="150">
        <v>2.19375E-3</v>
      </c>
      <c r="O8" s="149">
        <v>8.44</v>
      </c>
      <c r="P8" s="151">
        <f>Table135343434[[#This Row],[Tr. 5 Gross Acreage]]*Table135343434[[#This Row],[Tract 5 NPR Interest]]</f>
        <v>1.8515249999999997E-2</v>
      </c>
      <c r="Q8" s="150">
        <v>2.19375E-3</v>
      </c>
      <c r="R8" s="152">
        <v>42.581000000000003</v>
      </c>
      <c r="S8" s="151">
        <f t="shared" si="0"/>
        <v>9.3412068750000007E-2</v>
      </c>
      <c r="T8" s="151"/>
      <c r="U8" s="151"/>
      <c r="V8" s="151"/>
      <c r="W8" s="151">
        <f>Table135343434[[#This Row],[Tr. 2 
NPR Acres]]+Table135343434[[#This Row],[Tr. 3 
NPR Acres]]+Table135343434[[#This Row],[Tr. 5 
NPR Acres]]+Table135343434[[#This Row],[Tr. 6 NPR Acres]]</f>
        <v>0.40679583749999998</v>
      </c>
      <c r="X8" s="153">
        <f>Table135343434[[#This Row],[Unit Totals]]*Table135343434[[#This Row],[Tr. 2
NPR Interest]]</f>
        <v>8.9240836851562494E-4</v>
      </c>
      <c r="Y8" s="154"/>
    </row>
    <row r="9" spans="1:25" ht="14.25" x14ac:dyDescent="0.4">
      <c r="A9" s="148" t="s">
        <v>142</v>
      </c>
      <c r="B9" s="149"/>
      <c r="C9" s="149"/>
      <c r="D9" s="149"/>
      <c r="E9" s="150">
        <v>6.7500000000000004E-4</v>
      </c>
      <c r="F9" s="182">
        <v>106.19</v>
      </c>
      <c r="G9" s="151">
        <f>Table135343434[[#This Row],[Tr. 2 
Gross Acreage]]*Table135343434[[#This Row],[Tr. 2
NPR Interest]]</f>
        <v>7.1678249999999999E-2</v>
      </c>
      <c r="H9" s="150">
        <v>6.7500000000000004E-4</v>
      </c>
      <c r="I9" s="151">
        <v>28.222999999999999</v>
      </c>
      <c r="J9" s="151">
        <f>Table135343434[[#This Row],[Tr. 3 Gross Acreage]]*Table135343434[[#This Row],[Tract 3 NPR Interest]]</f>
        <v>1.9050524999999999E-2</v>
      </c>
      <c r="K9" s="151"/>
      <c r="L9" s="151"/>
      <c r="M9" s="151"/>
      <c r="N9" s="150">
        <v>6.7500000000000004E-4</v>
      </c>
      <c r="O9" s="149">
        <v>8.44</v>
      </c>
      <c r="P9" s="151">
        <f>Table135343434[[#This Row],[Tr. 5 Gross Acreage]]*Table135343434[[#This Row],[Tract 5 NPR Interest]]</f>
        <v>5.6969999999999998E-3</v>
      </c>
      <c r="Q9" s="150">
        <v>6.7500000000000004E-4</v>
      </c>
      <c r="R9" s="152">
        <v>42.581000000000003</v>
      </c>
      <c r="S9" s="151">
        <f t="shared" si="0"/>
        <v>2.8742175000000005E-2</v>
      </c>
      <c r="T9" s="151"/>
      <c r="U9" s="151"/>
      <c r="V9" s="151"/>
      <c r="W9" s="151">
        <f>Table135343434[[#This Row],[Tr. 2 
NPR Acres]]+Table135343434[[#This Row],[Tr. 3 
NPR Acres]]+Table135343434[[#This Row],[Tr. 5 
NPR Acres]]+Table135343434[[#This Row],[Tr. 6 NPR Acres]]</f>
        <v>0.12516795</v>
      </c>
      <c r="X9" s="153">
        <f>Table135343434[[#This Row],[Unit Totals]]*Table135343434[[#This Row],[Tr. 2
NPR Interest]]</f>
        <v>8.4488366250000009E-5</v>
      </c>
      <c r="Y9" s="154"/>
    </row>
    <row r="10" spans="1:25" ht="14.25" x14ac:dyDescent="0.4">
      <c r="A10" s="148" t="s">
        <v>143</v>
      </c>
      <c r="B10" s="149"/>
      <c r="C10" s="149"/>
      <c r="D10" s="149"/>
      <c r="E10" s="150">
        <v>6.7500000000000004E-4</v>
      </c>
      <c r="F10" s="182">
        <v>106.19</v>
      </c>
      <c r="G10" s="151">
        <f>Table135343434[[#This Row],[Tr. 2 
Gross Acreage]]*Table135343434[[#This Row],[Tr. 2
NPR Interest]]</f>
        <v>7.1678249999999999E-2</v>
      </c>
      <c r="H10" s="150">
        <v>6.7500000000000004E-4</v>
      </c>
      <c r="I10" s="151">
        <v>28.222999999999999</v>
      </c>
      <c r="J10" s="151">
        <f>Table135343434[[#This Row],[Tr. 3 Gross Acreage]]*Table135343434[[#This Row],[Tract 3 NPR Interest]]</f>
        <v>1.9050524999999999E-2</v>
      </c>
      <c r="K10" s="151"/>
      <c r="L10" s="151"/>
      <c r="M10" s="151"/>
      <c r="N10" s="150">
        <v>6.7500000000000004E-4</v>
      </c>
      <c r="O10" s="149">
        <v>8.44</v>
      </c>
      <c r="P10" s="151">
        <f>Table135343434[[#This Row],[Tr. 5 Gross Acreage]]*Table135343434[[#This Row],[Tract 5 NPR Interest]]</f>
        <v>5.6969999999999998E-3</v>
      </c>
      <c r="Q10" s="150">
        <v>6.7500000000000004E-4</v>
      </c>
      <c r="R10" s="152">
        <v>42.581000000000003</v>
      </c>
      <c r="S10" s="151">
        <f t="shared" si="0"/>
        <v>2.8742175000000005E-2</v>
      </c>
      <c r="T10" s="151"/>
      <c r="U10" s="151"/>
      <c r="V10" s="151"/>
      <c r="W10" s="151">
        <f>Table135343434[[#This Row],[Tr. 2 
NPR Acres]]+Table135343434[[#This Row],[Tr. 3 
NPR Acres]]+Table135343434[[#This Row],[Tr. 5 
NPR Acres]]+Table135343434[[#This Row],[Tr. 6 NPR Acres]]</f>
        <v>0.12516795</v>
      </c>
      <c r="X10" s="153">
        <f>Table135343434[[#This Row],[Unit Totals]]*Table135343434[[#This Row],[Tr. 2
NPR Interest]]</f>
        <v>8.4488366250000009E-5</v>
      </c>
      <c r="Y10" s="154"/>
    </row>
    <row r="11" spans="1:25" ht="14.25" x14ac:dyDescent="0.4">
      <c r="A11" s="148" t="s">
        <v>144</v>
      </c>
      <c r="B11" s="149"/>
      <c r="C11" s="149"/>
      <c r="D11" s="149"/>
      <c r="E11" s="150">
        <v>6.7500000000000004E-4</v>
      </c>
      <c r="F11" s="182">
        <v>106.19</v>
      </c>
      <c r="G11" s="151">
        <f>Table135343434[[#This Row],[Tr. 2 
Gross Acreage]]*Table135343434[[#This Row],[Tr. 2
NPR Interest]]</f>
        <v>7.1678249999999999E-2</v>
      </c>
      <c r="H11" s="150">
        <v>6.7500000000000004E-4</v>
      </c>
      <c r="I11" s="151">
        <v>28.222999999999999</v>
      </c>
      <c r="J11" s="151">
        <f>Table135343434[[#This Row],[Tr. 3 Gross Acreage]]*Table135343434[[#This Row],[Tract 3 NPR Interest]]</f>
        <v>1.9050524999999999E-2</v>
      </c>
      <c r="K11" s="151"/>
      <c r="L11" s="151"/>
      <c r="M11" s="151"/>
      <c r="N11" s="150">
        <v>6.7500000000000004E-4</v>
      </c>
      <c r="O11" s="149">
        <v>8.44</v>
      </c>
      <c r="P11" s="151">
        <f>Table135343434[[#This Row],[Tr. 5 Gross Acreage]]*Table135343434[[#This Row],[Tract 5 NPR Interest]]</f>
        <v>5.6969999999999998E-3</v>
      </c>
      <c r="Q11" s="150">
        <v>6.7500000000000004E-4</v>
      </c>
      <c r="R11" s="152">
        <v>42.581000000000003</v>
      </c>
      <c r="S11" s="151">
        <f t="shared" si="0"/>
        <v>2.8742175000000005E-2</v>
      </c>
      <c r="T11" s="151"/>
      <c r="U11" s="151"/>
      <c r="V11" s="151"/>
      <c r="W11" s="151">
        <f>Table135343434[[#This Row],[Tr. 2 
NPR Acres]]+Table135343434[[#This Row],[Tr. 3 
NPR Acres]]+Table135343434[[#This Row],[Tr. 5 
NPR Acres]]+Table135343434[[#This Row],[Tr. 6 NPR Acres]]</f>
        <v>0.12516795</v>
      </c>
      <c r="X11" s="153">
        <f>Table135343434[[#This Row],[Unit Totals]]*Table135343434[[#This Row],[Tr. 2
NPR Interest]]</f>
        <v>8.4488366250000009E-5</v>
      </c>
      <c r="Y11" s="154"/>
    </row>
    <row r="12" spans="1:25" ht="28.5" x14ac:dyDescent="0.4">
      <c r="A12" s="148" t="s">
        <v>145</v>
      </c>
      <c r="B12" s="149"/>
      <c r="C12" s="149"/>
      <c r="D12" s="149"/>
      <c r="E12" s="150">
        <v>6.7500000000000004E-4</v>
      </c>
      <c r="F12" s="182">
        <v>106.19</v>
      </c>
      <c r="G12" s="151">
        <f>Table135343434[[#This Row],[Tr. 2 
Gross Acreage]]*Table135343434[[#This Row],[Tr. 2
NPR Interest]]</f>
        <v>7.1678249999999999E-2</v>
      </c>
      <c r="H12" s="150">
        <v>6.7500000000000004E-4</v>
      </c>
      <c r="I12" s="151">
        <v>28.222999999999999</v>
      </c>
      <c r="J12" s="151">
        <f>Table135343434[[#This Row],[Tr. 3 Gross Acreage]]*Table135343434[[#This Row],[Tract 3 NPR Interest]]</f>
        <v>1.9050524999999999E-2</v>
      </c>
      <c r="K12" s="151"/>
      <c r="L12" s="151"/>
      <c r="M12" s="151"/>
      <c r="N12" s="150">
        <v>6.7500000000000004E-4</v>
      </c>
      <c r="O12" s="149">
        <v>8.44</v>
      </c>
      <c r="P12" s="151">
        <f>Table135343434[[#This Row],[Tr. 5 Gross Acreage]]*Table135343434[[#This Row],[Tract 5 NPR Interest]]</f>
        <v>5.6969999999999998E-3</v>
      </c>
      <c r="Q12" s="150">
        <v>6.7500000000000004E-4</v>
      </c>
      <c r="R12" s="152">
        <v>42.581000000000003</v>
      </c>
      <c r="S12" s="151">
        <f t="shared" si="0"/>
        <v>2.8742175000000005E-2</v>
      </c>
      <c r="T12" s="151"/>
      <c r="U12" s="151"/>
      <c r="V12" s="151"/>
      <c r="W12" s="151">
        <f>Table135343434[[#This Row],[Tr. 2 
NPR Acres]]+Table135343434[[#This Row],[Tr. 3 
NPR Acres]]+Table135343434[[#This Row],[Tr. 5 
NPR Acres]]+Table135343434[[#This Row],[Tr. 6 NPR Acres]]</f>
        <v>0.12516795</v>
      </c>
      <c r="X12" s="153">
        <f>Table135343434[[#This Row],[Unit Totals]]*Table135343434[[#This Row],[Tr. 2
NPR Interest]]</f>
        <v>8.4488366250000009E-5</v>
      </c>
      <c r="Y12" s="154"/>
    </row>
    <row r="13" spans="1:25" ht="14.25" x14ac:dyDescent="0.4">
      <c r="A13" s="148" t="s">
        <v>146</v>
      </c>
      <c r="B13" s="149"/>
      <c r="C13" s="149"/>
      <c r="D13" s="149"/>
      <c r="E13" s="150">
        <v>6.7500000000000004E-4</v>
      </c>
      <c r="F13" s="182">
        <v>106.19</v>
      </c>
      <c r="G13" s="151">
        <f>Table135343434[[#This Row],[Tr. 2 
Gross Acreage]]*Table135343434[[#This Row],[Tr. 2
NPR Interest]]</f>
        <v>7.1678249999999999E-2</v>
      </c>
      <c r="H13" s="150">
        <v>6.7500000000000004E-4</v>
      </c>
      <c r="I13" s="151">
        <v>28.222999999999999</v>
      </c>
      <c r="J13" s="151">
        <f>Table135343434[[#This Row],[Tr. 3 Gross Acreage]]*Table135343434[[#This Row],[Tract 3 NPR Interest]]</f>
        <v>1.9050524999999999E-2</v>
      </c>
      <c r="K13" s="151"/>
      <c r="L13" s="151"/>
      <c r="M13" s="151"/>
      <c r="N13" s="150">
        <v>6.7500000000000004E-4</v>
      </c>
      <c r="O13" s="149">
        <v>8.44</v>
      </c>
      <c r="P13" s="151">
        <f>Table135343434[[#This Row],[Tr. 5 Gross Acreage]]*Table135343434[[#This Row],[Tract 5 NPR Interest]]</f>
        <v>5.6969999999999998E-3</v>
      </c>
      <c r="Q13" s="150">
        <v>6.7500000000000004E-4</v>
      </c>
      <c r="R13" s="152">
        <v>42.581000000000003</v>
      </c>
      <c r="S13" s="151">
        <f>R13*Q13</f>
        <v>2.8742175000000005E-2</v>
      </c>
      <c r="T13" s="151"/>
      <c r="U13" s="151"/>
      <c r="V13" s="151"/>
      <c r="W13" s="151">
        <f>Table135343434[[#This Row],[Tr. 2 
NPR Acres]]+Table135343434[[#This Row],[Tr. 3 
NPR Acres]]+Table135343434[[#This Row],[Tr. 5 
NPR Acres]]+Table135343434[[#This Row],[Tr. 6 NPR Acres]]</f>
        <v>0.12516795</v>
      </c>
      <c r="X13" s="153">
        <f>Table135343434[[#This Row],[Unit Totals]]*Table135343434[[#This Row],[Tr. 2
NPR Interest]]</f>
        <v>8.4488366250000009E-5</v>
      </c>
      <c r="Y13" s="154"/>
    </row>
    <row r="14" spans="1:25" ht="28.5" x14ac:dyDescent="0.4">
      <c r="A14" s="148" t="s">
        <v>147</v>
      </c>
      <c r="B14" s="149"/>
      <c r="C14" s="149"/>
      <c r="D14" s="149"/>
      <c r="E14" s="150">
        <v>2.8124999999999999E-3</v>
      </c>
      <c r="F14" s="182">
        <v>106.19</v>
      </c>
      <c r="G14" s="151">
        <f>Table135343434[[#This Row],[Tr. 2 
Gross Acreage]]*Table135343434[[#This Row],[Tr. 2
NPR Interest]]</f>
        <v>0.298659375</v>
      </c>
      <c r="H14" s="150">
        <v>2.8124999999999999E-3</v>
      </c>
      <c r="I14" s="151">
        <v>28.222999999999999</v>
      </c>
      <c r="J14" s="151">
        <f>Table135343434[[#This Row],[Tr. 3 Gross Acreage]]*Table135343434[[#This Row],[Tract 3 NPR Interest]]</f>
        <v>7.9377187499999988E-2</v>
      </c>
      <c r="K14" s="151"/>
      <c r="L14" s="151"/>
      <c r="M14" s="151"/>
      <c r="N14" s="150">
        <v>2.8124999999999999E-3</v>
      </c>
      <c r="O14" s="149">
        <v>8.44</v>
      </c>
      <c r="P14" s="151">
        <f>Table135343434[[#This Row],[Tr. 5 Gross Acreage]]*Table135343434[[#This Row],[Tract 5 NPR Interest]]</f>
        <v>2.3737499999999998E-2</v>
      </c>
      <c r="Q14" s="150">
        <v>2.8124999999999999E-3</v>
      </c>
      <c r="R14" s="152">
        <v>42.581000000000003</v>
      </c>
      <c r="S14" s="151">
        <f t="shared" si="0"/>
        <v>0.1197590625</v>
      </c>
      <c r="T14" s="151"/>
      <c r="U14" s="151"/>
      <c r="V14" s="151"/>
      <c r="W14" s="151">
        <f>Table135343434[[#This Row],[Tr. 2 
NPR Acres]]+Table135343434[[#This Row],[Tr. 3 
NPR Acres]]+Table135343434[[#This Row],[Tr. 5 
NPR Acres]]+Table135343434[[#This Row],[Tr. 6 NPR Acres]]</f>
        <v>0.52153312500000004</v>
      </c>
      <c r="X14" s="153">
        <f>Table135343434[[#This Row],[Unit Totals]]*Table135343434[[#This Row],[Tr. 2
NPR Interest]]</f>
        <v>1.4668119140625001E-3</v>
      </c>
      <c r="Y14" s="154"/>
    </row>
    <row r="15" spans="1:25" ht="28.5" x14ac:dyDescent="0.4">
      <c r="A15" s="148" t="s">
        <v>148</v>
      </c>
      <c r="B15" s="149"/>
      <c r="C15" s="149"/>
      <c r="D15" s="149"/>
      <c r="E15" s="150">
        <v>1.06875E-3</v>
      </c>
      <c r="F15" s="182">
        <v>106.19</v>
      </c>
      <c r="G15" s="151">
        <f>Table135343434[[#This Row],[Tr. 2 
Gross Acreage]]*Table135343434[[#This Row],[Tr. 2
NPR Interest]]</f>
        <v>0.1134905625</v>
      </c>
      <c r="H15" s="150">
        <v>1.06875E-3</v>
      </c>
      <c r="I15" s="151">
        <v>28.222999999999999</v>
      </c>
      <c r="J15" s="151">
        <f>Table135343434[[#This Row],[Tr. 3 Gross Acreage]]*Table135343434[[#This Row],[Tract 3 NPR Interest]]</f>
        <v>3.0163331250000001E-2</v>
      </c>
      <c r="K15" s="151"/>
      <c r="L15" s="151"/>
      <c r="M15" s="151"/>
      <c r="N15" s="150">
        <v>1.06875E-3</v>
      </c>
      <c r="O15" s="149">
        <v>8.44</v>
      </c>
      <c r="P15" s="151">
        <f>Table135343434[[#This Row],[Tr. 5 Gross Acreage]]*Table135343434[[#This Row],[Tract 5 NPR Interest]]</f>
        <v>9.0202500000000005E-3</v>
      </c>
      <c r="Q15" s="150">
        <v>1.06875E-3</v>
      </c>
      <c r="R15" s="152">
        <v>42.581000000000003</v>
      </c>
      <c r="S15" s="151">
        <f t="shared" si="0"/>
        <v>4.5508443750000002E-2</v>
      </c>
      <c r="T15" s="151"/>
      <c r="U15" s="151"/>
      <c r="V15" s="151"/>
      <c r="W15" s="151">
        <f>Table135343434[[#This Row],[Tr. 2 
NPR Acres]]+Table135343434[[#This Row],[Tr. 3 
NPR Acres]]+Table135343434[[#This Row],[Tr. 5 
NPR Acres]]+Table135343434[[#This Row],[Tr. 6 NPR Acres]]</f>
        <v>0.19818258750000001</v>
      </c>
      <c r="X15" s="153">
        <f>Table135343434[[#This Row],[Unit Totals]]*Table135343434[[#This Row],[Tr. 2
NPR Interest]]</f>
        <v>2.1180764039062502E-4</v>
      </c>
      <c r="Y15" s="154"/>
    </row>
    <row r="16" spans="1:25" ht="42.75" x14ac:dyDescent="0.4">
      <c r="A16" s="148" t="s">
        <v>149</v>
      </c>
      <c r="B16" s="149"/>
      <c r="C16" s="149"/>
      <c r="D16" s="149"/>
      <c r="E16" s="150">
        <v>8.5218999999999996E-4</v>
      </c>
      <c r="F16" s="182">
        <v>106.19</v>
      </c>
      <c r="G16" s="151">
        <f>Table135343434[[#This Row],[Tr. 2 
Gross Acreage]]*Table135343434[[#This Row],[Tr. 2
NPR Interest]]</f>
        <v>9.0494056099999998E-2</v>
      </c>
      <c r="H16" s="150">
        <v>8.5218999999999996E-4</v>
      </c>
      <c r="I16" s="151">
        <v>28.222999999999999</v>
      </c>
      <c r="J16" s="151">
        <f>Table135343434[[#This Row],[Tr. 3 Gross Acreage]]*Table135343434[[#This Row],[Tract 3 NPR Interest]]</f>
        <v>2.4051358369999998E-2</v>
      </c>
      <c r="K16" s="151"/>
      <c r="L16" s="151"/>
      <c r="M16" s="151"/>
      <c r="N16" s="150">
        <v>8.5218999999999996E-4</v>
      </c>
      <c r="O16" s="149">
        <v>8.44</v>
      </c>
      <c r="P16" s="151">
        <f>Table135343434[[#This Row],[Tr. 5 Gross Acreage]]*Table135343434[[#This Row],[Tract 5 NPR Interest]]</f>
        <v>7.1924835999999989E-3</v>
      </c>
      <c r="Q16" s="150">
        <v>8.5218999999999996E-4</v>
      </c>
      <c r="R16" s="152">
        <v>42.581000000000003</v>
      </c>
      <c r="S16" s="151">
        <f t="shared" si="0"/>
        <v>3.6287102389999999E-2</v>
      </c>
      <c r="T16" s="151"/>
      <c r="U16" s="151"/>
      <c r="V16" s="151"/>
      <c r="W16" s="151">
        <f>Table135343434[[#This Row],[Tr. 2 
NPR Acres]]+Table135343434[[#This Row],[Tr. 3 
NPR Acres]]+Table135343434[[#This Row],[Tr. 5 
NPR Acres]]+Table135343434[[#This Row],[Tr. 6 NPR Acres]]</f>
        <v>0.15802500045999998</v>
      </c>
      <c r="X16" s="153">
        <f>Table135343434[[#This Row],[Unit Totals]]*Table135343434[[#This Row],[Tr. 2
NPR Interest]]</f>
        <v>1.3466732514200738E-4</v>
      </c>
      <c r="Y16" s="154"/>
    </row>
    <row r="17" spans="1:25" ht="14.25" x14ac:dyDescent="0.4">
      <c r="A17" s="148" t="s">
        <v>150</v>
      </c>
      <c r="B17" s="149"/>
      <c r="C17" s="149"/>
      <c r="D17" s="149"/>
      <c r="E17" s="150">
        <v>4.3172000000000002E-4</v>
      </c>
      <c r="F17" s="182">
        <v>106.19</v>
      </c>
      <c r="G17" s="151">
        <f>Table135343434[[#This Row],[Tr. 2 
Gross Acreage]]*Table135343434[[#This Row],[Tr. 2
NPR Interest]]</f>
        <v>4.5844346799999998E-2</v>
      </c>
      <c r="H17" s="150">
        <v>4.3172000000000002E-4</v>
      </c>
      <c r="I17" s="151">
        <v>28.222999999999999</v>
      </c>
      <c r="J17" s="151">
        <f>Table135343434[[#This Row],[Tr. 3 Gross Acreage]]*Table135343434[[#This Row],[Tract 3 NPR Interest]]</f>
        <v>1.2184433560000001E-2</v>
      </c>
      <c r="K17" s="151"/>
      <c r="L17" s="151"/>
      <c r="M17" s="151"/>
      <c r="N17" s="150">
        <v>4.3172000000000002E-4</v>
      </c>
      <c r="O17" s="149">
        <v>8.44</v>
      </c>
      <c r="P17" s="151">
        <f>Table135343434[[#This Row],[Tr. 5 Gross Acreage]]*Table135343434[[#This Row],[Tract 5 NPR Interest]]</f>
        <v>3.6437167999999998E-3</v>
      </c>
      <c r="Q17" s="150">
        <v>4.3172000000000002E-4</v>
      </c>
      <c r="R17" s="152">
        <v>42.581000000000003</v>
      </c>
      <c r="S17" s="151">
        <f t="shared" si="0"/>
        <v>1.8383069320000001E-2</v>
      </c>
      <c r="T17" s="151"/>
      <c r="U17" s="151"/>
      <c r="V17" s="151"/>
      <c r="W17" s="151">
        <f>Table135343434[[#This Row],[Tr. 2 
NPR Acres]]+Table135343434[[#This Row],[Tr. 3 
NPR Acres]]+Table135343434[[#This Row],[Tr. 5 
NPR Acres]]+Table135343434[[#This Row],[Tr. 6 NPR Acres]]</f>
        <v>8.0055566480000007E-2</v>
      </c>
      <c r="X17" s="153">
        <f>Table135343434[[#This Row],[Unit Totals]]*Table135343434[[#This Row],[Tr. 2
NPR Interest]]</f>
        <v>3.4561589160745604E-5</v>
      </c>
      <c r="Y17" s="154"/>
    </row>
    <row r="18" spans="1:25" ht="28.5" x14ac:dyDescent="0.4">
      <c r="A18" s="148" t="s">
        <v>151</v>
      </c>
      <c r="B18" s="149"/>
      <c r="C18" s="149"/>
      <c r="D18" s="149"/>
      <c r="E18" s="150">
        <v>4.3172000000000002E-4</v>
      </c>
      <c r="F18" s="182">
        <v>106.19</v>
      </c>
      <c r="G18" s="151">
        <f>Table135343434[[#This Row],[Tr. 2 
Gross Acreage]]*Table135343434[[#This Row],[Tr. 2
NPR Interest]]</f>
        <v>4.5844346799999998E-2</v>
      </c>
      <c r="H18" s="150">
        <v>4.3172000000000002E-4</v>
      </c>
      <c r="I18" s="151">
        <v>28.222999999999999</v>
      </c>
      <c r="J18" s="151">
        <f>Table135343434[[#This Row],[Tr. 3 Gross Acreage]]*Table135343434[[#This Row],[Tract 3 NPR Interest]]</f>
        <v>1.2184433560000001E-2</v>
      </c>
      <c r="K18" s="151"/>
      <c r="L18" s="151"/>
      <c r="M18" s="151"/>
      <c r="N18" s="150">
        <v>4.3172000000000002E-4</v>
      </c>
      <c r="O18" s="149">
        <v>8.44</v>
      </c>
      <c r="P18" s="151">
        <f>Table135343434[[#This Row],[Tr. 5 Gross Acreage]]*Table135343434[[#This Row],[Tract 5 NPR Interest]]</f>
        <v>3.6437167999999998E-3</v>
      </c>
      <c r="Q18" s="150">
        <v>4.3172000000000002E-4</v>
      </c>
      <c r="R18" s="152">
        <v>42.581000000000003</v>
      </c>
      <c r="S18" s="151">
        <f>R18*Q18</f>
        <v>1.8383069320000001E-2</v>
      </c>
      <c r="T18" s="151"/>
      <c r="U18" s="151"/>
      <c r="V18" s="151"/>
      <c r="W18" s="151">
        <f>Table135343434[[#This Row],[Tr. 2 
NPR Acres]]+Table135343434[[#This Row],[Tr. 3 
NPR Acres]]+Table135343434[[#This Row],[Tr. 5 
NPR Acres]]+Table135343434[[#This Row],[Tr. 6 NPR Acres]]</f>
        <v>8.0055566480000007E-2</v>
      </c>
      <c r="X18" s="153">
        <f>Table135343434[[#This Row],[Unit Totals]]*Table135343434[[#This Row],[Tr. 2
NPR Interest]]</f>
        <v>3.4561589160745604E-5</v>
      </c>
      <c r="Y18" s="154"/>
    </row>
    <row r="19" spans="1:25" ht="14.25" x14ac:dyDescent="0.4">
      <c r="A19" s="148" t="s">
        <v>152</v>
      </c>
      <c r="B19" s="149"/>
      <c r="C19" s="149"/>
      <c r="D19" s="149"/>
      <c r="E19" s="150">
        <v>4.3172000000000002E-4</v>
      </c>
      <c r="F19" s="182">
        <v>106.19</v>
      </c>
      <c r="G19" s="151">
        <f>Table135343434[[#This Row],[Tr. 2 
Gross Acreage]]*Table135343434[[#This Row],[Tr. 2
NPR Interest]]</f>
        <v>4.5844346799999998E-2</v>
      </c>
      <c r="H19" s="150">
        <v>4.3172000000000002E-4</v>
      </c>
      <c r="I19" s="151">
        <v>28.222999999999999</v>
      </c>
      <c r="J19" s="151">
        <f>Table135343434[[#This Row],[Tr. 3 Gross Acreage]]*Table135343434[[#This Row],[Tract 3 NPR Interest]]</f>
        <v>1.2184433560000001E-2</v>
      </c>
      <c r="K19" s="151"/>
      <c r="L19" s="151"/>
      <c r="M19" s="151"/>
      <c r="N19" s="150">
        <v>4.3172000000000002E-4</v>
      </c>
      <c r="O19" s="149">
        <v>8.44</v>
      </c>
      <c r="P19" s="151">
        <f>Table135343434[[#This Row],[Tr. 5 Gross Acreage]]*Table135343434[[#This Row],[Tract 5 NPR Interest]]</f>
        <v>3.6437167999999998E-3</v>
      </c>
      <c r="Q19" s="150">
        <v>4.3172000000000002E-4</v>
      </c>
      <c r="R19" s="152">
        <v>42.581000000000003</v>
      </c>
      <c r="S19" s="151">
        <f t="shared" si="0"/>
        <v>1.8383069320000001E-2</v>
      </c>
      <c r="T19" s="151"/>
      <c r="U19" s="151"/>
      <c r="V19" s="151"/>
      <c r="W19" s="151">
        <f>Table135343434[[#This Row],[Tr. 2 
NPR Acres]]+Table135343434[[#This Row],[Tr. 3 
NPR Acres]]+Table135343434[[#This Row],[Tr. 5 
NPR Acres]]+Table135343434[[#This Row],[Tr. 6 NPR Acres]]</f>
        <v>8.0055566480000007E-2</v>
      </c>
      <c r="X19" s="153">
        <f>Table135343434[[#This Row],[Unit Totals]]*Table135343434[[#This Row],[Tr. 2
NPR Interest]]</f>
        <v>3.4561589160745604E-5</v>
      </c>
      <c r="Y19" s="154"/>
    </row>
    <row r="20" spans="1:25" ht="14.25" x14ac:dyDescent="0.4">
      <c r="A20" s="148" t="s">
        <v>153</v>
      </c>
      <c r="B20" s="149"/>
      <c r="C20" s="149"/>
      <c r="D20" s="149"/>
      <c r="E20" s="150">
        <v>9.5160000000000004E-5</v>
      </c>
      <c r="F20" s="182">
        <v>106.19</v>
      </c>
      <c r="G20" s="151">
        <f>Table135343434[[#This Row],[Tr. 2 
Gross Acreage]]*Table135343434[[#This Row],[Tr. 2
NPR Interest]]</f>
        <v>1.0105040400000001E-2</v>
      </c>
      <c r="H20" s="150">
        <v>9.5160000000000004E-5</v>
      </c>
      <c r="I20" s="151">
        <v>28.222999999999999</v>
      </c>
      <c r="J20" s="151">
        <f>Table135343434[[#This Row],[Tr. 3 Gross Acreage]]*Table135343434[[#This Row],[Tract 3 NPR Interest]]</f>
        <v>2.68570068E-3</v>
      </c>
      <c r="K20" s="151"/>
      <c r="L20" s="151"/>
      <c r="M20" s="151"/>
      <c r="N20" s="150">
        <v>9.5160000000000004E-5</v>
      </c>
      <c r="O20" s="149">
        <v>8.44</v>
      </c>
      <c r="P20" s="151">
        <f>Table135343434[[#This Row],[Tr. 5 Gross Acreage]]*Table135343434[[#This Row],[Tract 5 NPR Interest]]</f>
        <v>8.0315040000000001E-4</v>
      </c>
      <c r="Q20" s="150">
        <v>9.5160000000000004E-5</v>
      </c>
      <c r="R20" s="152">
        <v>42.581000000000003</v>
      </c>
      <c r="S20" s="151">
        <f t="shared" si="0"/>
        <v>4.0520079600000003E-3</v>
      </c>
      <c r="T20" s="151"/>
      <c r="U20" s="151"/>
      <c r="V20" s="151"/>
      <c r="W20" s="151">
        <f>Table135343434[[#This Row],[Tr. 2 
NPR Acres]]+Table135343434[[#This Row],[Tr. 3 
NPR Acres]]+Table135343434[[#This Row],[Tr. 5 
NPR Acres]]+Table135343434[[#This Row],[Tr. 6 NPR Acres]]</f>
        <v>1.7645899440000001E-2</v>
      </c>
      <c r="X20" s="153">
        <f>Table135343434[[#This Row],[Unit Totals]]*Table135343434[[#This Row],[Tr. 2
NPR Interest]]</f>
        <v>1.6791837907104002E-6</v>
      </c>
      <c r="Y20" s="154"/>
    </row>
    <row r="21" spans="1:25" ht="14.25" x14ac:dyDescent="0.4">
      <c r="A21" s="148" t="s">
        <v>154</v>
      </c>
      <c r="B21" s="149"/>
      <c r="C21" s="149"/>
      <c r="D21" s="149"/>
      <c r="E21" s="150">
        <v>9.5160000000000004E-5</v>
      </c>
      <c r="F21" s="182">
        <v>106.19</v>
      </c>
      <c r="G21" s="151">
        <f>Table135343434[[#This Row],[Tr. 2 
Gross Acreage]]*Table135343434[[#This Row],[Tr. 2
NPR Interest]]</f>
        <v>1.0105040400000001E-2</v>
      </c>
      <c r="H21" s="150">
        <v>9.5160000000000004E-5</v>
      </c>
      <c r="I21" s="151">
        <v>28.222999999999999</v>
      </c>
      <c r="J21" s="151">
        <f>Table135343434[[#This Row],[Tr. 3 Gross Acreage]]*Table135343434[[#This Row],[Tract 3 NPR Interest]]</f>
        <v>2.68570068E-3</v>
      </c>
      <c r="K21" s="151"/>
      <c r="L21" s="151"/>
      <c r="M21" s="151"/>
      <c r="N21" s="150">
        <v>9.5160000000000004E-5</v>
      </c>
      <c r="O21" s="149">
        <v>8.44</v>
      </c>
      <c r="P21" s="151">
        <f>Table135343434[[#This Row],[Tr. 5 Gross Acreage]]*Table135343434[[#This Row],[Tract 5 NPR Interest]]</f>
        <v>8.0315040000000001E-4</v>
      </c>
      <c r="Q21" s="150">
        <v>9.5160000000000004E-5</v>
      </c>
      <c r="R21" s="152">
        <v>42.581000000000003</v>
      </c>
      <c r="S21" s="151">
        <f t="shared" si="0"/>
        <v>4.0520079600000003E-3</v>
      </c>
      <c r="T21" s="151"/>
      <c r="U21" s="151"/>
      <c r="V21" s="151"/>
      <c r="W21" s="151">
        <f>Table135343434[[#This Row],[Tr. 2 
NPR Acres]]+Table135343434[[#This Row],[Tr. 3 
NPR Acres]]+Table135343434[[#This Row],[Tr. 5 
NPR Acres]]+Table135343434[[#This Row],[Tr. 6 NPR Acres]]</f>
        <v>1.7645899440000001E-2</v>
      </c>
      <c r="X21" s="153">
        <f>Table135343434[[#This Row],[Unit Totals]]*Table135343434[[#This Row],[Tr. 2
NPR Interest]]</f>
        <v>1.6791837907104002E-6</v>
      </c>
      <c r="Y21" s="154"/>
    </row>
    <row r="22" spans="1:25" ht="14.25" x14ac:dyDescent="0.4">
      <c r="A22" s="148" t="s">
        <v>155</v>
      </c>
      <c r="B22" s="149"/>
      <c r="C22" s="149"/>
      <c r="D22" s="149"/>
      <c r="E22" s="150">
        <v>9.5160000000000004E-5</v>
      </c>
      <c r="F22" s="182">
        <v>106.19</v>
      </c>
      <c r="G22" s="151">
        <f>Table135343434[[#This Row],[Tr. 2 
Gross Acreage]]*Table135343434[[#This Row],[Tr. 2
NPR Interest]]</f>
        <v>1.0105040400000001E-2</v>
      </c>
      <c r="H22" s="150">
        <v>9.5160000000000004E-5</v>
      </c>
      <c r="I22" s="151">
        <v>28.222999999999999</v>
      </c>
      <c r="J22" s="151">
        <f>Table135343434[[#This Row],[Tr. 3 Gross Acreage]]*Table135343434[[#This Row],[Tract 3 NPR Interest]]</f>
        <v>2.68570068E-3</v>
      </c>
      <c r="K22" s="151"/>
      <c r="L22" s="151"/>
      <c r="M22" s="151"/>
      <c r="N22" s="150">
        <v>9.5160000000000004E-5</v>
      </c>
      <c r="O22" s="149">
        <v>8.44</v>
      </c>
      <c r="P22" s="151">
        <f>Table135343434[[#This Row],[Tr. 5 Gross Acreage]]*Table135343434[[#This Row],[Tract 5 NPR Interest]]</f>
        <v>8.0315040000000001E-4</v>
      </c>
      <c r="Q22" s="150">
        <v>9.5160000000000004E-5</v>
      </c>
      <c r="R22" s="152">
        <v>42.581000000000003</v>
      </c>
      <c r="S22" s="151">
        <f t="shared" si="0"/>
        <v>4.0520079600000003E-3</v>
      </c>
      <c r="T22" s="151"/>
      <c r="U22" s="151"/>
      <c r="V22" s="151"/>
      <c r="W22" s="151">
        <f>Table135343434[[#This Row],[Tr. 2 
NPR Acres]]+Table135343434[[#This Row],[Tr. 3 
NPR Acres]]+Table135343434[[#This Row],[Tr. 5 
NPR Acres]]+Table135343434[[#This Row],[Tr. 6 NPR Acres]]</f>
        <v>1.7645899440000001E-2</v>
      </c>
      <c r="X22" s="153">
        <f>Table135343434[[#This Row],[Unit Totals]]*Table135343434[[#This Row],[Tr. 2
NPR Interest]]</f>
        <v>1.6791837907104002E-6</v>
      </c>
      <c r="Y22" s="154"/>
    </row>
    <row r="23" spans="1:25" ht="28.5" x14ac:dyDescent="0.4">
      <c r="A23" s="148" t="s">
        <v>156</v>
      </c>
      <c r="B23" s="149"/>
      <c r="C23" s="149"/>
      <c r="D23" s="149"/>
      <c r="E23" s="150">
        <v>2.1656E-4</v>
      </c>
      <c r="F23" s="182">
        <v>106.19</v>
      </c>
      <c r="G23" s="151">
        <f>Table135343434[[#This Row],[Tr. 2 
Gross Acreage]]*Table135343434[[#This Row],[Tr. 2
NPR Interest]]</f>
        <v>2.2996506399999998E-2</v>
      </c>
      <c r="H23" s="150">
        <v>2.1656E-4</v>
      </c>
      <c r="I23" s="151">
        <v>28.222999999999999</v>
      </c>
      <c r="J23" s="151">
        <f>Table135343434[[#This Row],[Tr. 3 Gross Acreage]]*Table135343434[[#This Row],[Tract 3 NPR Interest]]</f>
        <v>6.1119728800000002E-3</v>
      </c>
      <c r="K23" s="151"/>
      <c r="L23" s="151"/>
      <c r="M23" s="151"/>
      <c r="N23" s="150">
        <v>2.1656E-4</v>
      </c>
      <c r="O23" s="149">
        <v>8.44</v>
      </c>
      <c r="P23" s="151">
        <f>Table135343434[[#This Row],[Tr. 5 Gross Acreage]]*Table135343434[[#This Row],[Tract 5 NPR Interest]]</f>
        <v>1.8277663999999999E-3</v>
      </c>
      <c r="Q23" s="150">
        <v>2.1656E-4</v>
      </c>
      <c r="R23" s="152">
        <v>42.581000000000003</v>
      </c>
      <c r="S23" s="151">
        <f t="shared" si="0"/>
        <v>9.2213413600000012E-3</v>
      </c>
      <c r="T23" s="151"/>
      <c r="U23" s="151"/>
      <c r="V23" s="151"/>
      <c r="W23" s="151">
        <f>Table135343434[[#This Row],[Tr. 2 
NPR Acres]]+Table135343434[[#This Row],[Tr. 3 
NPR Acres]]+Table135343434[[#This Row],[Tr. 5 
NPR Acres]]+Table135343434[[#This Row],[Tr. 6 NPR Acres]]</f>
        <v>4.0157587039999998E-2</v>
      </c>
      <c r="X23" s="153">
        <f>Table135343434[[#This Row],[Unit Totals]]*Table135343434[[#This Row],[Tr. 2
NPR Interest]]</f>
        <v>8.6965270493823996E-6</v>
      </c>
      <c r="Y23" s="154"/>
    </row>
    <row r="24" spans="1:25" ht="14.25" x14ac:dyDescent="0.4">
      <c r="A24" s="148" t="s">
        <v>157</v>
      </c>
      <c r="B24" s="149"/>
      <c r="C24" s="149"/>
      <c r="D24" s="149"/>
      <c r="E24" s="150">
        <v>1.4344E-4</v>
      </c>
      <c r="F24" s="182">
        <v>106.19</v>
      </c>
      <c r="G24" s="151">
        <f>Table135343434[[#This Row],[Tr. 2 
Gross Acreage]]*Table135343434[[#This Row],[Tr. 2
NPR Interest]]</f>
        <v>1.5231893599999999E-2</v>
      </c>
      <c r="H24" s="150">
        <v>1.4344E-4</v>
      </c>
      <c r="I24" s="151">
        <v>28.222999999999999</v>
      </c>
      <c r="J24" s="151">
        <f>Table135343434[[#This Row],[Tr. 3 Gross Acreage]]*Table135343434[[#This Row],[Tract 3 NPR Interest]]</f>
        <v>4.0483071199999996E-3</v>
      </c>
      <c r="K24" s="151"/>
      <c r="L24" s="151"/>
      <c r="M24" s="151"/>
      <c r="N24" s="150">
        <v>1.4344E-4</v>
      </c>
      <c r="O24" s="149">
        <v>8.44</v>
      </c>
      <c r="P24" s="151">
        <f>Table135343434[[#This Row],[Tr. 5 Gross Acreage]]*Table135343434[[#This Row],[Tract 5 NPR Interest]]</f>
        <v>1.2106335999999998E-3</v>
      </c>
      <c r="Q24" s="150">
        <v>1.4344E-4</v>
      </c>
      <c r="R24" s="152">
        <v>42.581000000000003</v>
      </c>
      <c r="S24" s="151">
        <f t="shared" si="0"/>
        <v>6.1078186400000001E-3</v>
      </c>
      <c r="T24" s="151"/>
      <c r="U24" s="151"/>
      <c r="V24" s="151"/>
      <c r="W24" s="151">
        <f>Table135343434[[#This Row],[Tr. 2 
NPR Acres]]+Table135343434[[#This Row],[Tr. 3 
NPR Acres]]+Table135343434[[#This Row],[Tr. 5 
NPR Acres]]+Table135343434[[#This Row],[Tr. 6 NPR Acres]]</f>
        <v>2.6598652959999997E-2</v>
      </c>
      <c r="X24" s="153">
        <f>Table135343434[[#This Row],[Unit Totals]]*Table135343434[[#This Row],[Tr. 2
NPR Interest]]</f>
        <v>3.8153107805823998E-6</v>
      </c>
      <c r="Y24" s="154"/>
    </row>
    <row r="25" spans="1:25" ht="14.25" x14ac:dyDescent="0.4">
      <c r="A25" s="148" t="s">
        <v>158</v>
      </c>
      <c r="B25" s="149"/>
      <c r="C25" s="149"/>
      <c r="D25" s="149"/>
      <c r="E25" s="150">
        <v>1.4344E-4</v>
      </c>
      <c r="F25" s="182">
        <v>106.19</v>
      </c>
      <c r="G25" s="151">
        <f>Table135343434[[#This Row],[Tr. 2 
Gross Acreage]]*Table135343434[[#This Row],[Tr. 2
NPR Interest]]</f>
        <v>1.5231893599999999E-2</v>
      </c>
      <c r="H25" s="150">
        <v>1.4344E-4</v>
      </c>
      <c r="I25" s="151">
        <v>28.222999999999999</v>
      </c>
      <c r="J25" s="151">
        <f>Table135343434[[#This Row],[Tr. 3 Gross Acreage]]*Table135343434[[#This Row],[Tract 3 NPR Interest]]</f>
        <v>4.0483071199999996E-3</v>
      </c>
      <c r="K25" s="151"/>
      <c r="L25" s="151"/>
      <c r="M25" s="151"/>
      <c r="N25" s="150">
        <v>1.4344E-4</v>
      </c>
      <c r="O25" s="149">
        <v>8.44</v>
      </c>
      <c r="P25" s="151">
        <f>Table135343434[[#This Row],[Tr. 5 Gross Acreage]]*Table135343434[[#This Row],[Tract 5 NPR Interest]]</f>
        <v>1.2106335999999998E-3</v>
      </c>
      <c r="Q25" s="150">
        <v>1.4344E-4</v>
      </c>
      <c r="R25" s="152">
        <v>42.581000000000003</v>
      </c>
      <c r="S25" s="151">
        <f>R25*Q25</f>
        <v>6.1078186400000001E-3</v>
      </c>
      <c r="T25" s="151"/>
      <c r="U25" s="151"/>
      <c r="V25" s="151"/>
      <c r="W25" s="151">
        <f>Table135343434[[#This Row],[Tr. 2 
NPR Acres]]+Table135343434[[#This Row],[Tr. 3 
NPR Acres]]+Table135343434[[#This Row],[Tr. 5 
NPR Acres]]+Table135343434[[#This Row],[Tr. 6 NPR Acres]]</f>
        <v>2.6598652959999997E-2</v>
      </c>
      <c r="X25" s="153">
        <f>Table135343434[[#This Row],[Unit Totals]]*Table135343434[[#This Row],[Tr. 2
NPR Interest]]</f>
        <v>3.8153107805823998E-6</v>
      </c>
      <c r="Y25" s="154"/>
    </row>
    <row r="26" spans="1:25" ht="14.25" x14ac:dyDescent="0.4">
      <c r="A26" s="148" t="s">
        <v>159</v>
      </c>
      <c r="B26" s="149"/>
      <c r="C26" s="149"/>
      <c r="D26" s="149"/>
      <c r="E26" s="150">
        <v>7.1719999999999998E-5</v>
      </c>
      <c r="F26" s="182">
        <v>106.19</v>
      </c>
      <c r="G26" s="151">
        <f>Table135343434[[#This Row],[Tr. 2 
Gross Acreage]]*Table135343434[[#This Row],[Tr. 2
NPR Interest]]</f>
        <v>7.6159467999999996E-3</v>
      </c>
      <c r="H26" s="150">
        <v>7.1719999999999998E-5</v>
      </c>
      <c r="I26" s="151">
        <v>28.222999999999999</v>
      </c>
      <c r="J26" s="151">
        <f>Table135343434[[#This Row],[Tr. 3 Gross Acreage]]*Table135343434[[#This Row],[Tract 3 NPR Interest]]</f>
        <v>2.0241535599999998E-3</v>
      </c>
      <c r="K26" s="151"/>
      <c r="L26" s="151"/>
      <c r="M26" s="151"/>
      <c r="N26" s="150">
        <v>7.1719999999999998E-5</v>
      </c>
      <c r="O26" s="149">
        <v>8.44</v>
      </c>
      <c r="P26" s="151">
        <f>Table135343434[[#This Row],[Tr. 5 Gross Acreage]]*Table135343434[[#This Row],[Tract 5 NPR Interest]]</f>
        <v>6.053167999999999E-4</v>
      </c>
      <c r="Q26" s="150">
        <v>7.1719999999999998E-5</v>
      </c>
      <c r="R26" s="152">
        <v>42.581000000000003</v>
      </c>
      <c r="S26" s="151">
        <f>R26*Q26</f>
        <v>3.0539093200000001E-3</v>
      </c>
      <c r="T26" s="151"/>
      <c r="U26" s="151"/>
      <c r="V26" s="151"/>
      <c r="W26" s="151">
        <f>Table135343434[[#This Row],[Tr. 2 
NPR Acres]]+Table135343434[[#This Row],[Tr. 3 
NPR Acres]]+Table135343434[[#This Row],[Tr. 5 
NPR Acres]]+Table135343434[[#This Row],[Tr. 6 NPR Acres]]</f>
        <v>1.3299326479999998E-2</v>
      </c>
      <c r="X26" s="153">
        <f>Table135343434[[#This Row],[Unit Totals]]*Table135343434[[#This Row],[Tr. 2
NPR Interest]]</f>
        <v>9.5382769514559995E-7</v>
      </c>
      <c r="Y26" s="154"/>
    </row>
    <row r="27" spans="1:25" ht="14.25" x14ac:dyDescent="0.4">
      <c r="A27" s="148" t="s">
        <v>160</v>
      </c>
      <c r="B27" s="149"/>
      <c r="C27" s="149"/>
      <c r="D27" s="149"/>
      <c r="E27" s="150">
        <v>7.1719999999999998E-5</v>
      </c>
      <c r="F27" s="182">
        <v>106.19</v>
      </c>
      <c r="G27" s="151">
        <f>Table135343434[[#This Row],[Tr. 2 
Gross Acreage]]*Table135343434[[#This Row],[Tr. 2
NPR Interest]]</f>
        <v>7.6159467999999996E-3</v>
      </c>
      <c r="H27" s="150">
        <v>7.1719999999999998E-5</v>
      </c>
      <c r="I27" s="151">
        <v>28.222999999999999</v>
      </c>
      <c r="J27" s="151">
        <f>Table135343434[[#This Row],[Tr. 3 Gross Acreage]]*Table135343434[[#This Row],[Tract 3 NPR Interest]]</f>
        <v>2.0241535599999998E-3</v>
      </c>
      <c r="K27" s="151"/>
      <c r="L27" s="151"/>
      <c r="M27" s="151"/>
      <c r="N27" s="150">
        <v>7.1719999999999998E-5</v>
      </c>
      <c r="O27" s="149">
        <v>8.44</v>
      </c>
      <c r="P27" s="151">
        <f>Table135343434[[#This Row],[Tr. 5 Gross Acreage]]*Table135343434[[#This Row],[Tract 5 NPR Interest]]</f>
        <v>6.053167999999999E-4</v>
      </c>
      <c r="Q27" s="150">
        <v>7.1719999999999998E-5</v>
      </c>
      <c r="R27" s="152">
        <v>42.581000000000003</v>
      </c>
      <c r="S27" s="151">
        <f>R27*Q27</f>
        <v>3.0539093200000001E-3</v>
      </c>
      <c r="T27" s="151"/>
      <c r="U27" s="151"/>
      <c r="V27" s="151"/>
      <c r="W27" s="151">
        <f>Table135343434[[#This Row],[Tr. 2 
NPR Acres]]+Table135343434[[#This Row],[Tr. 3 
NPR Acres]]+Table135343434[[#This Row],[Tr. 5 
NPR Acres]]+Table135343434[[#This Row],[Tr. 6 NPR Acres]]</f>
        <v>1.3299326479999998E-2</v>
      </c>
      <c r="X27" s="153">
        <f>Table135343434[[#This Row],[Unit Totals]]*Table135343434[[#This Row],[Tr. 2
NPR Interest]]</f>
        <v>9.5382769514559995E-7</v>
      </c>
      <c r="Y27" s="154"/>
    </row>
    <row r="28" spans="1:25" ht="28.5" x14ac:dyDescent="0.4">
      <c r="A28" s="155" t="s">
        <v>161</v>
      </c>
      <c r="B28" s="149"/>
      <c r="C28" s="149"/>
      <c r="D28" s="149"/>
      <c r="E28" s="150">
        <v>7.0309999999999996E-5</v>
      </c>
      <c r="F28" s="182">
        <v>106.19</v>
      </c>
      <c r="G28" s="151">
        <f>Table135343434[[#This Row],[Tr. 2 
Gross Acreage]]*Table135343434[[#This Row],[Tr. 2
NPR Interest]]</f>
        <v>7.4662188999999992E-3</v>
      </c>
      <c r="H28" s="150">
        <v>7.0309999999999996E-5</v>
      </c>
      <c r="I28" s="151">
        <v>28.222999999999999</v>
      </c>
      <c r="J28" s="151">
        <f>Table135343434[[#This Row],[Tr. 3 Gross Acreage]]*Table135343434[[#This Row],[Tract 3 NPR Interest]]</f>
        <v>1.9843591299999997E-3</v>
      </c>
      <c r="K28" s="151"/>
      <c r="L28" s="151"/>
      <c r="M28" s="151"/>
      <c r="N28" s="150">
        <v>7.0309999999999996E-5</v>
      </c>
      <c r="O28" s="149">
        <v>8.44</v>
      </c>
      <c r="P28" s="151">
        <f>Table135343434[[#This Row],[Tr. 5 Gross Acreage]]*Table135343434[[#This Row],[Tract 5 NPR Interest]]</f>
        <v>5.9341639999999996E-4</v>
      </c>
      <c r="Q28" s="150">
        <v>7.0309999999999996E-5</v>
      </c>
      <c r="R28" s="152">
        <v>42.581000000000003</v>
      </c>
      <c r="S28" s="151">
        <f>R28*Q28</f>
        <v>2.99387011E-3</v>
      </c>
      <c r="T28" s="151"/>
      <c r="U28" s="151"/>
      <c r="V28" s="151"/>
      <c r="W28" s="151">
        <f>Table135343434[[#This Row],[Tr. 2 
NPR Acres]]+Table135343434[[#This Row],[Tr. 3 
NPR Acres]]+Table135343434[[#This Row],[Tr. 5 
NPR Acres]]+Table135343434[[#This Row],[Tr. 6 NPR Acres]]</f>
        <v>1.3037864539999998E-2</v>
      </c>
      <c r="X28" s="153">
        <f>Table135343434[[#This Row],[Unit Totals]]*Table135343434[[#This Row],[Tr. 2
NPR Interest]]</f>
        <v>9.1669225580739976E-7</v>
      </c>
      <c r="Y28" s="154"/>
    </row>
    <row r="29" spans="1:25" ht="18" x14ac:dyDescent="0.4">
      <c r="A29" s="156"/>
      <c r="B29" s="157"/>
      <c r="C29" s="158"/>
      <c r="D29" s="157"/>
      <c r="E29" s="159">
        <f>SUBTOTAL(109,E2:E28)</f>
        <v>1.562504E-2</v>
      </c>
      <c r="F29" s="183"/>
      <c r="G29" s="161"/>
      <c r="H29" s="159">
        <f>SUBTOTAL(109,H2:H28)</f>
        <v>1.562504E-2</v>
      </c>
      <c r="I29" s="162"/>
      <c r="J29" s="161"/>
      <c r="K29" s="161"/>
      <c r="L29" s="160"/>
      <c r="M29" s="161"/>
      <c r="N29" s="159">
        <f>SUBTOTAL(109,N2:N28)</f>
        <v>1.562504E-2</v>
      </c>
      <c r="O29" s="160"/>
      <c r="P29" s="161"/>
      <c r="Q29" s="159">
        <f>SUBTOTAL(109,Q2:Q28)</f>
        <v>1.562504E-2</v>
      </c>
      <c r="R29" s="162"/>
      <c r="S29" s="161"/>
      <c r="T29" s="161"/>
      <c r="U29" s="162"/>
      <c r="V29" s="161"/>
      <c r="W29" s="163">
        <f>SUBTOTAL(109,W2:W28)</f>
        <v>2.8974136673599999</v>
      </c>
      <c r="X29" s="164"/>
      <c r="Y29" s="186"/>
    </row>
    <row r="30" spans="1:25" s="147" customFormat="1" ht="14.25" x14ac:dyDescent="0.4">
      <c r="A30" s="165" t="s">
        <v>162</v>
      </c>
      <c r="B30" s="166"/>
      <c r="C30" s="166"/>
      <c r="D30" s="166"/>
      <c r="E30" s="167"/>
      <c r="F30" s="184"/>
      <c r="G30" s="167"/>
      <c r="H30" s="167"/>
      <c r="I30" s="167"/>
      <c r="J30" s="167"/>
      <c r="K30" s="167"/>
      <c r="L30" s="168"/>
      <c r="M30" s="169"/>
      <c r="N30" s="167"/>
      <c r="O30" s="166"/>
      <c r="P30" s="167"/>
      <c r="Q30" s="167"/>
      <c r="R30" s="167"/>
      <c r="S30" s="169"/>
      <c r="T30" s="167"/>
      <c r="U30" s="166"/>
      <c r="V30" s="167"/>
      <c r="W30" s="167"/>
      <c r="X30" s="170"/>
      <c r="Y30" s="169"/>
    </row>
    <row r="31" spans="1:25" ht="14.25" x14ac:dyDescent="0.4">
      <c r="A31" s="171" t="s">
        <v>163</v>
      </c>
      <c r="B31" s="149"/>
      <c r="C31" s="149"/>
      <c r="D31" s="149"/>
      <c r="E31" s="151"/>
      <c r="F31" s="182"/>
      <c r="G31" s="151"/>
      <c r="H31" s="151"/>
      <c r="I31" s="151"/>
      <c r="J31" s="151"/>
      <c r="K31" s="151">
        <v>2.0833330000000001E-2</v>
      </c>
      <c r="L31" s="172">
        <v>14.64</v>
      </c>
      <c r="M31" s="151">
        <f>Table135343434[[#This Row],[Tr. 4 Gross Acreage]]*Table135343434[[#This Row],[Tract 4 NPR Interest]]</f>
        <v>0.30499995120000001</v>
      </c>
      <c r="N31" s="151"/>
      <c r="O31" s="151"/>
      <c r="P31" s="151"/>
      <c r="Q31" s="151"/>
      <c r="R31" s="151"/>
      <c r="S31" s="151"/>
      <c r="T31" s="151">
        <v>2.0833330000000001E-2</v>
      </c>
      <c r="U31" s="149">
        <v>20.545999999999999</v>
      </c>
      <c r="V31" s="151">
        <f>Table135343434[[#This Row],[Tr. 7 Gross Acreage]]*Table135343434[[#This Row],[Tract 7 NPR Interest]]</f>
        <v>0.42804159817999998</v>
      </c>
      <c r="W31" s="151">
        <f>Table135343434[[#This Row],[Tr. 7 
NPR Acres]]+Table135343434[[#This Row],[Tr. 4 
NPR Acres]]</f>
        <v>0.73304154937999999</v>
      </c>
      <c r="X31" s="153"/>
      <c r="Y31" s="154"/>
    </row>
    <row r="32" spans="1:25" ht="14.25" x14ac:dyDescent="0.4">
      <c r="A32" s="171" t="s">
        <v>164</v>
      </c>
      <c r="B32" s="149"/>
      <c r="C32" s="149"/>
      <c r="D32" s="149"/>
      <c r="E32" s="151"/>
      <c r="F32" s="182"/>
      <c r="G32" s="151"/>
      <c r="H32" s="151"/>
      <c r="I32" s="151"/>
      <c r="J32" s="151"/>
      <c r="K32" s="151">
        <v>3.4722199999999998E-3</v>
      </c>
      <c r="L32" s="172">
        <v>14.64</v>
      </c>
      <c r="M32" s="151">
        <f>Table135343434[[#This Row],[Tr. 4 Gross Acreage]]*Table135343434[[#This Row],[Tract 4 NPR Interest]]</f>
        <v>5.0833300800000002E-2</v>
      </c>
      <c r="N32" s="151"/>
      <c r="O32" s="151"/>
      <c r="P32" s="151"/>
      <c r="Q32" s="151"/>
      <c r="R32" s="151"/>
      <c r="S32" s="151"/>
      <c r="T32" s="151">
        <v>3.4722199999999998E-3</v>
      </c>
      <c r="U32" s="149">
        <v>20.545999999999999</v>
      </c>
      <c r="V32" s="151">
        <f>Table135343434[[#This Row],[Tr. 7 Gross Acreage]]*Table135343434[[#This Row],[Tract 7 NPR Interest]]</f>
        <v>7.1340232119999999E-2</v>
      </c>
      <c r="W32" s="151">
        <f>Table135343434[[#This Row],[Tr. 7 
NPR Acres]]+Table135343434[[#This Row],[Tr. 4 
NPR Acres]]</f>
        <v>0.12217353291999999</v>
      </c>
      <c r="X32" s="153"/>
      <c r="Y32" s="154"/>
    </row>
    <row r="33" spans="1:25" ht="14.25" x14ac:dyDescent="0.4">
      <c r="A33" s="171" t="s">
        <v>165</v>
      </c>
      <c r="B33" s="149"/>
      <c r="C33" s="149"/>
      <c r="D33" s="149"/>
      <c r="E33" s="151"/>
      <c r="F33" s="182"/>
      <c r="G33" s="151"/>
      <c r="H33" s="151"/>
      <c r="I33" s="151"/>
      <c r="J33" s="151"/>
      <c r="K33" s="151">
        <v>3.4722199999999998E-3</v>
      </c>
      <c r="L33" s="172">
        <v>14.64</v>
      </c>
      <c r="M33" s="151">
        <f>Table135343434[[#This Row],[Tr. 4 Gross Acreage]]*Table135343434[[#This Row],[Tract 4 NPR Interest]]</f>
        <v>5.0833300800000002E-2</v>
      </c>
      <c r="N33" s="151"/>
      <c r="O33" s="151"/>
      <c r="P33" s="151"/>
      <c r="Q33" s="151"/>
      <c r="R33" s="151"/>
      <c r="S33" s="151"/>
      <c r="T33" s="151">
        <v>3.4722199999999998E-3</v>
      </c>
      <c r="U33" s="149">
        <v>20.545999999999999</v>
      </c>
      <c r="V33" s="151">
        <f>Table135343434[[#This Row],[Tr. 7 Gross Acreage]]*Table135343434[[#This Row],[Tract 7 NPR Interest]]</f>
        <v>7.1340232119999999E-2</v>
      </c>
      <c r="W33" s="151">
        <f>Table135343434[[#This Row],[Tr. 7 
NPR Acres]]+Table135343434[[#This Row],[Tr. 4 
NPR Acres]]</f>
        <v>0.12217353291999999</v>
      </c>
      <c r="X33" s="153"/>
      <c r="Y33" s="154"/>
    </row>
    <row r="34" spans="1:25" ht="14.25" x14ac:dyDescent="0.4">
      <c r="A34" s="171" t="s">
        <v>166</v>
      </c>
      <c r="B34" s="149"/>
      <c r="C34" s="149"/>
      <c r="D34" s="149"/>
      <c r="E34" s="151"/>
      <c r="F34" s="182"/>
      <c r="G34" s="151"/>
      <c r="H34" s="151"/>
      <c r="I34" s="151"/>
      <c r="J34" s="151"/>
      <c r="K34" s="151">
        <v>1.0416669999999999E-2</v>
      </c>
      <c r="L34" s="172">
        <v>14.64</v>
      </c>
      <c r="M34" s="151">
        <f>Table135343434[[#This Row],[Tr. 4 Gross Acreage]]*Table135343434[[#This Row],[Tract 4 NPR Interest]]</f>
        <v>0.15250004880000001</v>
      </c>
      <c r="N34" s="151"/>
      <c r="O34" s="151"/>
      <c r="P34" s="151"/>
      <c r="Q34" s="151"/>
      <c r="R34" s="151"/>
      <c r="S34" s="151"/>
      <c r="T34" s="151">
        <v>1.0416669999999999E-2</v>
      </c>
      <c r="U34" s="149">
        <v>20.545999999999999</v>
      </c>
      <c r="V34" s="151">
        <f>Table135343434[[#This Row],[Tr. 7 Gross Acreage]]*Table135343434[[#This Row],[Tract 7 NPR Interest]]</f>
        <v>0.21402090181999997</v>
      </c>
      <c r="W34" s="151">
        <f>Table135343434[[#This Row],[Tr. 7 
NPR Acres]]+Table135343434[[#This Row],[Tr. 4 
NPR Acres]]</f>
        <v>0.36652095062000001</v>
      </c>
      <c r="X34" s="153"/>
      <c r="Y34" s="154"/>
    </row>
    <row r="35" spans="1:25" ht="14.25" x14ac:dyDescent="0.4">
      <c r="A35" s="171" t="s">
        <v>167</v>
      </c>
      <c r="B35" s="149"/>
      <c r="C35" s="149"/>
      <c r="D35" s="149"/>
      <c r="E35" s="151"/>
      <c r="F35" s="182"/>
      <c r="G35" s="151"/>
      <c r="H35" s="151"/>
      <c r="I35" s="151"/>
      <c r="J35" s="151"/>
      <c r="K35" s="151">
        <v>1.0416669999999999E-2</v>
      </c>
      <c r="L35" s="172">
        <v>14.64</v>
      </c>
      <c r="M35" s="151">
        <f>Table135343434[[#This Row],[Tr. 4 Gross Acreage]]*Table135343434[[#This Row],[Tract 4 NPR Interest]]</f>
        <v>0.15250004880000001</v>
      </c>
      <c r="N35" s="151"/>
      <c r="O35" s="149"/>
      <c r="P35" s="151"/>
      <c r="Q35" s="151"/>
      <c r="R35" s="151"/>
      <c r="S35" s="152"/>
      <c r="T35" s="151">
        <v>1.0416669999999999E-2</v>
      </c>
      <c r="U35" s="149">
        <v>20.545999999999999</v>
      </c>
      <c r="V35" s="151">
        <f>Table135343434[[#This Row],[Tr. 7 Gross Acreage]]*Table135343434[[#This Row],[Tract 7 NPR Interest]]</f>
        <v>0.21402090181999997</v>
      </c>
      <c r="W35" s="151">
        <f>Table135343434[[#This Row],[Tr. 7 
NPR Acres]]+Table135343434[[#This Row],[Tr. 4 
NPR Acres]]</f>
        <v>0.36652095062000001</v>
      </c>
      <c r="X35" s="153"/>
      <c r="Y35" s="152"/>
    </row>
    <row r="36" spans="1:25" ht="14.25" x14ac:dyDescent="0.4">
      <c r="A36" s="171" t="s">
        <v>168</v>
      </c>
      <c r="B36" s="149"/>
      <c r="C36" s="149"/>
      <c r="D36" s="149"/>
      <c r="E36" s="151"/>
      <c r="F36" s="182"/>
      <c r="G36" s="151"/>
      <c r="H36" s="151"/>
      <c r="I36" s="151"/>
      <c r="J36" s="151"/>
      <c r="K36" s="151">
        <v>6.9444399999999996E-3</v>
      </c>
      <c r="L36" s="172">
        <v>14.64</v>
      </c>
      <c r="M36" s="151">
        <f>Table135343434[[#This Row],[Tr. 4 Gross Acreage]]*Table135343434[[#This Row],[Tract 4 NPR Interest]]</f>
        <v>0.1016666016</v>
      </c>
      <c r="N36" s="151"/>
      <c r="O36" s="149"/>
      <c r="P36" s="151"/>
      <c r="Q36" s="151"/>
      <c r="R36" s="151"/>
      <c r="S36" s="152"/>
      <c r="T36" s="151">
        <v>6.9444399999999996E-3</v>
      </c>
      <c r="U36" s="149">
        <v>20.545999999999999</v>
      </c>
      <c r="V36" s="151">
        <f>Table135343434[[#This Row],[Tr. 7 Gross Acreage]]*Table135343434[[#This Row],[Tract 7 NPR Interest]]</f>
        <v>0.14268046424</v>
      </c>
      <c r="W36" s="151">
        <f>Table135343434[[#This Row],[Tr. 7 
NPR Acres]]+Table135343434[[#This Row],[Tr. 4 
NPR Acres]]</f>
        <v>0.24434706583999999</v>
      </c>
      <c r="X36" s="153"/>
      <c r="Y36" s="152"/>
    </row>
    <row r="37" spans="1:25" ht="14.25" x14ac:dyDescent="0.4">
      <c r="A37" s="171" t="s">
        <v>169</v>
      </c>
      <c r="B37" s="149"/>
      <c r="C37" s="149"/>
      <c r="D37" s="149"/>
      <c r="E37" s="151"/>
      <c r="F37" s="182"/>
      <c r="G37" s="151"/>
      <c r="H37" s="151"/>
      <c r="I37" s="151"/>
      <c r="J37" s="151"/>
      <c r="K37" s="151">
        <v>6.9444399999999996E-3</v>
      </c>
      <c r="L37" s="172">
        <v>14.64</v>
      </c>
      <c r="M37" s="151">
        <f>Table135343434[[#This Row],[Tr. 4 Gross Acreage]]*Table135343434[[#This Row],[Tract 4 NPR Interest]]</f>
        <v>0.1016666016</v>
      </c>
      <c r="N37" s="151"/>
      <c r="O37" s="149"/>
      <c r="P37" s="151"/>
      <c r="Q37" s="151"/>
      <c r="R37" s="151"/>
      <c r="S37" s="152"/>
      <c r="T37" s="151">
        <v>6.9444399999999996E-3</v>
      </c>
      <c r="U37" s="149">
        <v>20.545999999999999</v>
      </c>
      <c r="V37" s="151">
        <f>Table135343434[[#This Row],[Tr. 7 Gross Acreage]]*Table135343434[[#This Row],[Tract 7 NPR Interest]]</f>
        <v>0.14268046424</v>
      </c>
      <c r="W37" s="151">
        <f>Table135343434[[#This Row],[Tr. 7 
NPR Acres]]+Table135343434[[#This Row],[Tr. 4 
NPR Acres]]</f>
        <v>0.24434706583999999</v>
      </c>
      <c r="X37" s="153"/>
      <c r="Y37" s="152"/>
    </row>
    <row r="38" spans="1:25" ht="18" x14ac:dyDescent="0.4">
      <c r="A38" s="156"/>
      <c r="B38" s="149"/>
      <c r="C38" s="149"/>
      <c r="D38" s="149"/>
      <c r="E38" s="151"/>
      <c r="F38" s="182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3"/>
      <c r="Y38" s="173"/>
    </row>
    <row r="39" spans="1:25" ht="14.25" x14ac:dyDescent="0.4">
      <c r="A39" s="12" t="s">
        <v>54</v>
      </c>
      <c r="B39" s="174"/>
      <c r="C39" s="174"/>
      <c r="D39" s="174"/>
      <c r="E39" s="174"/>
      <c r="F39" s="185"/>
      <c r="G39" s="174"/>
      <c r="H39" s="174"/>
      <c r="I39" s="175"/>
      <c r="J39" s="175"/>
      <c r="K39" s="174">
        <f>SUBTOTAL(109,Table135343434[Tract 4 NPR Interest])</f>
        <v>6.2499989999999991E-2</v>
      </c>
      <c r="L39" s="175"/>
      <c r="M39" s="175">
        <f>SUM(M2:M38)</f>
        <v>0.91499985359999991</v>
      </c>
      <c r="N39" s="174"/>
      <c r="O39" s="175"/>
      <c r="P39" s="175"/>
      <c r="Q39" s="174"/>
      <c r="R39" s="175"/>
      <c r="S39" s="175"/>
      <c r="T39" s="174">
        <f>SUM(T2:T38)</f>
        <v>6.2499989999999991E-2</v>
      </c>
      <c r="U39" s="175"/>
      <c r="V39" s="175">
        <f>SUBTOTAL(109,Table135343434[Tr. 7 
NPR Acres])</f>
        <v>1.2841247945399998</v>
      </c>
      <c r="W39" s="175">
        <f>Table135343434[[#Totals],[Tr. 7 
NPR Acres]]+Table135343434[[#Totals],[Tr. 4 
NPR Acres]]</f>
        <v>2.1991246481399997</v>
      </c>
      <c r="X39" s="175"/>
      <c r="Y39" s="176"/>
    </row>
    <row r="54" spans="23:23" x14ac:dyDescent="0.4">
      <c r="W54" s="181"/>
    </row>
  </sheetData>
  <pageMargins left="0.25" right="0.25" top="0.75" bottom="0.25" header="0.3" footer="0.3"/>
  <pageSetup paperSize="5" scale="59" fitToHeight="0" orientation="landscape" verticalDpi="1200" r:id="rId1"/>
  <headerFooter>
    <oddHeader>&amp;C&amp;"-,Bold"&amp;14Ownership and Lease Status
ARCADIA OPERATING, LLC - ELMORE #1 276.12 ACRE UNIT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LseStatus-NRI</vt:lpstr>
      <vt:lpstr>NPR 1</vt:lpstr>
      <vt:lpstr>'LseStatus-NRI'!Print_Titles</vt:lpstr>
      <vt:lpstr>'NPR 1'!Print_Titles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Hestley</dc:creator>
  <cp:lastModifiedBy>Richard Hestley</cp:lastModifiedBy>
  <cp:lastPrinted>2026-03-06T11:02:21Z</cp:lastPrinted>
  <dcterms:created xsi:type="dcterms:W3CDTF">2025-12-14T21:41:46Z</dcterms:created>
  <dcterms:modified xsi:type="dcterms:W3CDTF">2026-03-20T20:23:47Z</dcterms:modified>
</cp:coreProperties>
</file>